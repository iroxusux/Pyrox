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trlProps/ctrlProp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trlProps/ctrlProp7.xml" ContentType="application/vnd.ms-excel.controlproperties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10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calcChain.xml" ContentType="application/vnd.openxmlformats-officedocument.spreadsheetml.calcChain+xml"/>
  <Override PartName="/xl/tables/table1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37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6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Jobs\22-Jobs\22-152_T_GM_ASI_Orion GA Conveyors\22-152_EMS-VAC_GA Systems\1110-Hardware\05 - Hardware Design\02 - Wiring Drawings (WD)\07 - (GR700)_Chassis 7\08-Design\GR700\"/>
    </mc:Choice>
  </mc:AlternateContent>
  <xr:revisionPtr revIDLastSave="0" documentId="13_ncr:1_{8F2750F7-2671-4F50-91E0-1ACDA5B0C799}" xr6:coauthVersionLast="47" xr6:coauthVersionMax="47" xr10:uidLastSave="{00000000-0000-0000-0000-000000000000}"/>
  <bookViews>
    <workbookView xWindow="-57720" yWindow="-5565" windowWidth="29040" windowHeight="15840" firstSheet="1" activeTab="7" xr2:uid="{00000000-000D-0000-FFFF-FFFF00000000}"/>
  </bookViews>
  <sheets>
    <sheet name="Structure_Data" sheetId="8" state="hidden" r:id="rId1"/>
    <sheet name="CoverSheet" sheetId="9" r:id="rId2"/>
    <sheet name="480v Power" sheetId="1" r:id="rId3"/>
    <sheet name="120v Power" sheetId="13" r:id="rId4"/>
    <sheet name="24v Power" sheetId="14" r:id="rId5"/>
    <sheet name="Ethernet" sheetId="15" r:id="rId6"/>
    <sheet name="Safety IO" sheetId="22" r:id="rId7"/>
    <sheet name="Standard IO" sheetId="24" r:id="rId8"/>
    <sheet name="Parts_Data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9" i="22" l="1"/>
  <c r="G59" i="22"/>
  <c r="J58" i="22"/>
  <c r="G58" i="22"/>
  <c r="E58" i="22"/>
  <c r="J57" i="22"/>
  <c r="G57" i="22"/>
  <c r="J56" i="22"/>
  <c r="G56" i="22"/>
  <c r="E56" i="22"/>
  <c r="J55" i="22"/>
  <c r="G55" i="22"/>
  <c r="J54" i="22"/>
  <c r="G54" i="22"/>
  <c r="E54" i="22"/>
  <c r="J53" i="22"/>
  <c r="G53" i="22"/>
  <c r="J52" i="22"/>
  <c r="G52" i="22"/>
  <c r="E52" i="22"/>
  <c r="J51" i="22"/>
  <c r="G51" i="22"/>
  <c r="J50" i="22"/>
  <c r="G50" i="22"/>
  <c r="E50" i="22"/>
  <c r="J49" i="22"/>
  <c r="G49" i="22"/>
  <c r="J48" i="22"/>
  <c r="G48" i="22"/>
  <c r="E48" i="22"/>
  <c r="J47" i="22"/>
  <c r="G47" i="22"/>
  <c r="J46" i="22"/>
  <c r="G46" i="22"/>
  <c r="E46" i="22"/>
  <c r="J45" i="22"/>
  <c r="G45" i="22"/>
  <c r="J44" i="22"/>
  <c r="G44" i="22"/>
  <c r="E44" i="22"/>
  <c r="AG46" i="14"/>
  <c r="AD46" i="14"/>
  <c r="AB46" i="14"/>
  <c r="Y46" i="14"/>
  <c r="W46" i="14"/>
  <c r="T46" i="14"/>
  <c r="R46" i="14"/>
  <c r="O46" i="14"/>
  <c r="M46" i="14"/>
  <c r="J46" i="14"/>
  <c r="H46" i="14"/>
  <c r="E46" i="14"/>
  <c r="AG45" i="14"/>
  <c r="AD45" i="14"/>
  <c r="AB45" i="14"/>
  <c r="Y45" i="14"/>
  <c r="W45" i="14"/>
  <c r="T45" i="14"/>
  <c r="R45" i="14"/>
  <c r="O45" i="14"/>
  <c r="M45" i="14"/>
  <c r="J45" i="14"/>
  <c r="H45" i="14"/>
  <c r="E45" i="14"/>
  <c r="AG44" i="14"/>
  <c r="AD44" i="14"/>
  <c r="AB44" i="14"/>
  <c r="Y44" i="14"/>
  <c r="W44" i="14"/>
  <c r="T44" i="14"/>
  <c r="R44" i="14"/>
  <c r="O44" i="14"/>
  <c r="M44" i="14"/>
  <c r="J44" i="14"/>
  <c r="H44" i="14"/>
  <c r="E44" i="14"/>
  <c r="AG43" i="14"/>
  <c r="AD43" i="14"/>
  <c r="AB43" i="14"/>
  <c r="Y43" i="14"/>
  <c r="W43" i="14"/>
  <c r="T43" i="14"/>
  <c r="R43" i="14"/>
  <c r="O43" i="14"/>
  <c r="M43" i="14"/>
  <c r="J43" i="14"/>
  <c r="H43" i="14"/>
  <c r="E43" i="14"/>
  <c r="AG42" i="14"/>
  <c r="AD42" i="14"/>
  <c r="AB42" i="14"/>
  <c r="Y42" i="14"/>
  <c r="W42" i="14"/>
  <c r="T42" i="14"/>
  <c r="R42" i="14"/>
  <c r="O42" i="14"/>
  <c r="M42" i="14"/>
  <c r="J42" i="14"/>
  <c r="H42" i="14"/>
  <c r="E42" i="14"/>
  <c r="AG12" i="14"/>
  <c r="AD12" i="14"/>
  <c r="AB12" i="14"/>
  <c r="Y12" i="14"/>
  <c r="W12" i="14"/>
  <c r="T12" i="14"/>
  <c r="R12" i="14"/>
  <c r="O12" i="14"/>
  <c r="M12" i="14"/>
  <c r="J12" i="14"/>
  <c r="H12" i="14"/>
  <c r="E12" i="14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7" i="12"/>
  <c r="AN88" i="12"/>
  <c r="AN89" i="12"/>
  <c r="AN90" i="12"/>
  <c r="AN91" i="12"/>
  <c r="AN92" i="12"/>
  <c r="AN93" i="12"/>
  <c r="AN94" i="12"/>
  <c r="AN95" i="12"/>
  <c r="AN96" i="12"/>
  <c r="AN97" i="12"/>
  <c r="AN98" i="12"/>
  <c r="AN99" i="12"/>
  <c r="AN100" i="12"/>
  <c r="AN101" i="12"/>
  <c r="AN102" i="12"/>
  <c r="AJ46" i="12"/>
  <c r="AJ47" i="12"/>
  <c r="AJ48" i="12"/>
  <c r="AJ49" i="12"/>
  <c r="AJ50" i="12"/>
  <c r="AJ51" i="12"/>
  <c r="AJ52" i="12"/>
  <c r="AJ53" i="12"/>
  <c r="AJ54" i="12"/>
  <c r="AJ55" i="12"/>
  <c r="AJ56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D98" i="12"/>
  <c r="AD99" i="12"/>
  <c r="AD100" i="12"/>
  <c r="AD101" i="12"/>
  <c r="AD10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AP25" i="13"/>
  <c r="AM25" i="13"/>
  <c r="AK25" i="13"/>
  <c r="AH25" i="13"/>
  <c r="AF25" i="13"/>
  <c r="AC25" i="13"/>
  <c r="AA25" i="13"/>
  <c r="X25" i="13"/>
  <c r="V25" i="13"/>
  <c r="S25" i="13"/>
  <c r="Q25" i="13"/>
  <c r="N25" i="13"/>
  <c r="L25" i="13"/>
  <c r="I25" i="13"/>
  <c r="G25" i="13"/>
  <c r="D25" i="13"/>
  <c r="AG13" i="14"/>
  <c r="AD13" i="14"/>
  <c r="AB13" i="14"/>
  <c r="Y13" i="14"/>
  <c r="W13" i="14"/>
  <c r="T13" i="14"/>
  <c r="R13" i="14"/>
  <c r="O13" i="14"/>
  <c r="M13" i="14"/>
  <c r="J13" i="14"/>
  <c r="H13" i="14"/>
  <c r="E13" i="14"/>
  <c r="AG14" i="14"/>
  <c r="AD14" i="14"/>
  <c r="AB14" i="14"/>
  <c r="Y14" i="14"/>
  <c r="W14" i="14"/>
  <c r="T14" i="14"/>
  <c r="R14" i="14"/>
  <c r="O14" i="14"/>
  <c r="M14" i="14"/>
  <c r="J14" i="14"/>
  <c r="H14" i="14"/>
  <c r="E14" i="14"/>
  <c r="AG16" i="14"/>
  <c r="AD16" i="14"/>
  <c r="AB16" i="14"/>
  <c r="Y16" i="14"/>
  <c r="W16" i="14"/>
  <c r="T16" i="14"/>
  <c r="R16" i="14"/>
  <c r="O16" i="14"/>
  <c r="M16" i="14"/>
  <c r="J16" i="14"/>
  <c r="H16" i="14"/>
  <c r="E16" i="14"/>
  <c r="AG15" i="14"/>
  <c r="AD15" i="14"/>
  <c r="AB15" i="14"/>
  <c r="Y15" i="14"/>
  <c r="W15" i="14"/>
  <c r="T15" i="14"/>
  <c r="R15" i="14"/>
  <c r="O15" i="14"/>
  <c r="M15" i="14"/>
  <c r="J15" i="14"/>
  <c r="H15" i="14"/>
  <c r="E15" i="14"/>
  <c r="J28" i="22"/>
  <c r="J29" i="22"/>
  <c r="E21" i="1"/>
  <c r="H21" i="1"/>
  <c r="J21" i="1"/>
  <c r="M21" i="1"/>
  <c r="O21" i="1"/>
  <c r="R21" i="1"/>
  <c r="T21" i="1"/>
  <c r="H22" i="1"/>
  <c r="J22" i="1"/>
  <c r="M22" i="1"/>
  <c r="O22" i="1"/>
  <c r="R22" i="1"/>
  <c r="T22" i="1"/>
  <c r="J43" i="24"/>
  <c r="G43" i="24"/>
  <c r="J42" i="24"/>
  <c r="G42" i="24"/>
  <c r="E42" i="24"/>
  <c r="J41" i="24"/>
  <c r="G41" i="24"/>
  <c r="J40" i="24"/>
  <c r="G40" i="24"/>
  <c r="E40" i="24"/>
  <c r="J39" i="24"/>
  <c r="G39" i="24"/>
  <c r="J38" i="24"/>
  <c r="G38" i="24"/>
  <c r="E38" i="24"/>
  <c r="J37" i="24"/>
  <c r="G37" i="24"/>
  <c r="J36" i="24"/>
  <c r="G36" i="24"/>
  <c r="E36" i="24"/>
  <c r="J35" i="24"/>
  <c r="G35" i="24"/>
  <c r="J34" i="24"/>
  <c r="G34" i="24"/>
  <c r="E34" i="24"/>
  <c r="J33" i="24"/>
  <c r="G33" i="24"/>
  <c r="J32" i="24"/>
  <c r="G32" i="24"/>
  <c r="E32" i="24"/>
  <c r="J31" i="24"/>
  <c r="G31" i="24"/>
  <c r="J30" i="24"/>
  <c r="G30" i="24"/>
  <c r="E30" i="24"/>
  <c r="J29" i="24"/>
  <c r="G29" i="24"/>
  <c r="J28" i="24"/>
  <c r="G28" i="24"/>
  <c r="J43" i="22"/>
  <c r="G43" i="22"/>
  <c r="J42" i="22"/>
  <c r="G42" i="22"/>
  <c r="E42" i="22"/>
  <c r="J41" i="22"/>
  <c r="G41" i="22"/>
  <c r="J40" i="22"/>
  <c r="G40" i="22"/>
  <c r="E40" i="22"/>
  <c r="J39" i="22"/>
  <c r="G39" i="22"/>
  <c r="J38" i="22"/>
  <c r="G38" i="22"/>
  <c r="E38" i="22"/>
  <c r="J37" i="22"/>
  <c r="G37" i="22"/>
  <c r="J36" i="22"/>
  <c r="G36" i="22"/>
  <c r="E36" i="22"/>
  <c r="J35" i="22"/>
  <c r="G35" i="22"/>
  <c r="J34" i="22"/>
  <c r="G34" i="22"/>
  <c r="E34" i="22"/>
  <c r="J33" i="22"/>
  <c r="G33" i="22"/>
  <c r="J32" i="22"/>
  <c r="G32" i="22"/>
  <c r="E32" i="22"/>
  <c r="J31" i="22"/>
  <c r="G31" i="22"/>
  <c r="J30" i="22"/>
  <c r="G30" i="22"/>
  <c r="E30" i="22"/>
  <c r="G29" i="22"/>
  <c r="G28" i="22"/>
  <c r="E28" i="22"/>
  <c r="D7" i="15" l="1"/>
  <c r="B7" i="14"/>
  <c r="C7" i="13"/>
  <c r="C7" i="1"/>
  <c r="BZ43" i="1"/>
  <c r="BW43" i="1"/>
  <c r="BZ42" i="1"/>
  <c r="BW42" i="1"/>
  <c r="BZ41" i="1"/>
  <c r="BW41" i="1"/>
  <c r="BZ40" i="1"/>
  <c r="BW40" i="1"/>
  <c r="BZ39" i="1"/>
  <c r="BW39" i="1"/>
  <c r="BZ38" i="1"/>
  <c r="BW38" i="1"/>
  <c r="BZ37" i="1"/>
  <c r="BW37" i="1"/>
  <c r="BZ36" i="1"/>
  <c r="BW36" i="1"/>
  <c r="BZ35" i="1"/>
  <c r="BW35" i="1"/>
  <c r="BZ34" i="1"/>
  <c r="BW34" i="1"/>
  <c r="BZ33" i="1"/>
  <c r="BW33" i="1"/>
  <c r="BZ32" i="1"/>
  <c r="BW32" i="1"/>
  <c r="BZ31" i="1"/>
  <c r="BW31" i="1"/>
  <c r="BZ30" i="1"/>
  <c r="BW30" i="1"/>
  <c r="BZ29" i="1"/>
  <c r="BW29" i="1"/>
  <c r="BZ28" i="1"/>
  <c r="BW28" i="1"/>
  <c r="BZ27" i="1"/>
  <c r="BW27" i="1"/>
  <c r="BZ26" i="1"/>
  <c r="BW26" i="1"/>
  <c r="BZ25" i="1"/>
  <c r="BW25" i="1"/>
  <c r="BZ24" i="1"/>
  <c r="BW24" i="1"/>
  <c r="BZ23" i="1"/>
  <c r="BW23" i="1"/>
  <c r="BZ22" i="1"/>
  <c r="BW22" i="1"/>
  <c r="BZ21" i="1"/>
  <c r="BW21" i="1"/>
  <c r="BZ20" i="1"/>
  <c r="BW20" i="1"/>
  <c r="BZ19" i="1"/>
  <c r="BW19" i="1"/>
  <c r="BZ18" i="1"/>
  <c r="BW18" i="1"/>
  <c r="BZ17" i="1"/>
  <c r="BW17" i="1"/>
  <c r="BZ16" i="1"/>
  <c r="BW16" i="1"/>
  <c r="BZ15" i="1"/>
  <c r="BW15" i="1"/>
  <c r="BZ14" i="1"/>
  <c r="BW14" i="1"/>
  <c r="BU43" i="1"/>
  <c r="BR43" i="1"/>
  <c r="BU42" i="1"/>
  <c r="BR42" i="1"/>
  <c r="BU41" i="1"/>
  <c r="BR41" i="1"/>
  <c r="BU40" i="1"/>
  <c r="BR40" i="1"/>
  <c r="BU39" i="1"/>
  <c r="BR39" i="1"/>
  <c r="BU38" i="1"/>
  <c r="BR38" i="1"/>
  <c r="BU37" i="1"/>
  <c r="BR37" i="1"/>
  <c r="BU36" i="1"/>
  <c r="BR36" i="1"/>
  <c r="BU35" i="1"/>
  <c r="BR35" i="1"/>
  <c r="BU34" i="1"/>
  <c r="BR34" i="1"/>
  <c r="BU33" i="1"/>
  <c r="BR33" i="1"/>
  <c r="BU32" i="1"/>
  <c r="BR32" i="1"/>
  <c r="BU31" i="1"/>
  <c r="BR31" i="1"/>
  <c r="BU30" i="1"/>
  <c r="BR30" i="1"/>
  <c r="BU29" i="1"/>
  <c r="BR29" i="1"/>
  <c r="BU28" i="1"/>
  <c r="BR28" i="1"/>
  <c r="BU27" i="1"/>
  <c r="BR27" i="1"/>
  <c r="BU26" i="1"/>
  <c r="BR26" i="1"/>
  <c r="BU25" i="1"/>
  <c r="BR25" i="1"/>
  <c r="BU24" i="1"/>
  <c r="BR24" i="1"/>
  <c r="BU23" i="1"/>
  <c r="BR23" i="1"/>
  <c r="BU22" i="1"/>
  <c r="BR22" i="1"/>
  <c r="BU21" i="1"/>
  <c r="BR21" i="1"/>
  <c r="BU20" i="1"/>
  <c r="BR20" i="1"/>
  <c r="BU19" i="1"/>
  <c r="BR19" i="1"/>
  <c r="BU18" i="1"/>
  <c r="BR18" i="1"/>
  <c r="BU17" i="1"/>
  <c r="BR17" i="1"/>
  <c r="BU16" i="1"/>
  <c r="BR16" i="1"/>
  <c r="BU15" i="1"/>
  <c r="BR15" i="1"/>
  <c r="BU14" i="1"/>
  <c r="BR14" i="1"/>
  <c r="BP43" i="1"/>
  <c r="BM43" i="1"/>
  <c r="BP42" i="1"/>
  <c r="BM42" i="1"/>
  <c r="BP41" i="1"/>
  <c r="BM41" i="1"/>
  <c r="BP40" i="1"/>
  <c r="BM40" i="1"/>
  <c r="BP39" i="1"/>
  <c r="BM39" i="1"/>
  <c r="BP38" i="1"/>
  <c r="BM38" i="1"/>
  <c r="BP37" i="1"/>
  <c r="BM37" i="1"/>
  <c r="BP36" i="1"/>
  <c r="BM36" i="1"/>
  <c r="BP35" i="1"/>
  <c r="BM35" i="1"/>
  <c r="BP34" i="1"/>
  <c r="BM34" i="1"/>
  <c r="BP33" i="1"/>
  <c r="BM33" i="1"/>
  <c r="BP32" i="1"/>
  <c r="BM32" i="1"/>
  <c r="BP31" i="1"/>
  <c r="BM31" i="1"/>
  <c r="BP30" i="1"/>
  <c r="BM30" i="1"/>
  <c r="BP29" i="1"/>
  <c r="BM29" i="1"/>
  <c r="BP28" i="1"/>
  <c r="BM28" i="1"/>
  <c r="BP27" i="1"/>
  <c r="BM27" i="1"/>
  <c r="BP26" i="1"/>
  <c r="BM26" i="1"/>
  <c r="BP25" i="1"/>
  <c r="BM25" i="1"/>
  <c r="BP24" i="1"/>
  <c r="BM24" i="1"/>
  <c r="BP23" i="1"/>
  <c r="BM23" i="1"/>
  <c r="BP22" i="1"/>
  <c r="BM22" i="1"/>
  <c r="BP21" i="1"/>
  <c r="BM21" i="1"/>
  <c r="BP20" i="1"/>
  <c r="BM20" i="1"/>
  <c r="BP19" i="1"/>
  <c r="BM19" i="1"/>
  <c r="BP18" i="1"/>
  <c r="BM18" i="1"/>
  <c r="BP17" i="1"/>
  <c r="BM17" i="1"/>
  <c r="BP16" i="1"/>
  <c r="BM16" i="1"/>
  <c r="BP15" i="1"/>
  <c r="BM15" i="1"/>
  <c r="BP14" i="1"/>
  <c r="BM14" i="1"/>
  <c r="BK43" i="1"/>
  <c r="BH43" i="1"/>
  <c r="BK42" i="1"/>
  <c r="BH42" i="1"/>
  <c r="BK41" i="1"/>
  <c r="BH41" i="1"/>
  <c r="BK40" i="1"/>
  <c r="BH40" i="1"/>
  <c r="BK39" i="1"/>
  <c r="BH39" i="1"/>
  <c r="BK38" i="1"/>
  <c r="BH38" i="1"/>
  <c r="BK37" i="1"/>
  <c r="BH37" i="1"/>
  <c r="BK36" i="1"/>
  <c r="BH36" i="1"/>
  <c r="BK35" i="1"/>
  <c r="BH35" i="1"/>
  <c r="BK34" i="1"/>
  <c r="BH34" i="1"/>
  <c r="BK33" i="1"/>
  <c r="BH33" i="1"/>
  <c r="BK32" i="1"/>
  <c r="BH32" i="1"/>
  <c r="BK31" i="1"/>
  <c r="BH31" i="1"/>
  <c r="BK30" i="1"/>
  <c r="BH30" i="1"/>
  <c r="BK29" i="1"/>
  <c r="BH29" i="1"/>
  <c r="BK28" i="1"/>
  <c r="BH28" i="1"/>
  <c r="BK27" i="1"/>
  <c r="BH27" i="1"/>
  <c r="BK26" i="1"/>
  <c r="BH26" i="1"/>
  <c r="BK25" i="1"/>
  <c r="BH25" i="1"/>
  <c r="BK24" i="1"/>
  <c r="BH24" i="1"/>
  <c r="BK23" i="1"/>
  <c r="BH23" i="1"/>
  <c r="BK22" i="1"/>
  <c r="BH22" i="1"/>
  <c r="BK21" i="1"/>
  <c r="BH21" i="1"/>
  <c r="BK20" i="1"/>
  <c r="BH20" i="1"/>
  <c r="BK19" i="1"/>
  <c r="BH19" i="1"/>
  <c r="BK18" i="1"/>
  <c r="BH18" i="1"/>
  <c r="BK17" i="1"/>
  <c r="BH17" i="1"/>
  <c r="BK16" i="1"/>
  <c r="BH16" i="1"/>
  <c r="BK15" i="1"/>
  <c r="BH15" i="1"/>
  <c r="BK14" i="1"/>
  <c r="BH14" i="1"/>
  <c r="BF43" i="1"/>
  <c r="BC43" i="1"/>
  <c r="BF42" i="1"/>
  <c r="BC42" i="1"/>
  <c r="BF41" i="1"/>
  <c r="BC41" i="1"/>
  <c r="BF40" i="1"/>
  <c r="BC40" i="1"/>
  <c r="BF39" i="1"/>
  <c r="BC39" i="1"/>
  <c r="BF38" i="1"/>
  <c r="BC38" i="1"/>
  <c r="BF37" i="1"/>
  <c r="BC37" i="1"/>
  <c r="BF36" i="1"/>
  <c r="BC36" i="1"/>
  <c r="BF35" i="1"/>
  <c r="BC35" i="1"/>
  <c r="BF34" i="1"/>
  <c r="BC34" i="1"/>
  <c r="BF33" i="1"/>
  <c r="BC33" i="1"/>
  <c r="BF32" i="1"/>
  <c r="BC32" i="1"/>
  <c r="BF31" i="1"/>
  <c r="BC31" i="1"/>
  <c r="BF30" i="1"/>
  <c r="BC30" i="1"/>
  <c r="BF29" i="1"/>
  <c r="BC29" i="1"/>
  <c r="BF28" i="1"/>
  <c r="BC28" i="1"/>
  <c r="BF27" i="1"/>
  <c r="BC27" i="1"/>
  <c r="BF26" i="1"/>
  <c r="BC26" i="1"/>
  <c r="BF25" i="1"/>
  <c r="BC25" i="1"/>
  <c r="BF24" i="1"/>
  <c r="BC24" i="1"/>
  <c r="BF23" i="1"/>
  <c r="BC23" i="1"/>
  <c r="BF22" i="1"/>
  <c r="BC22" i="1"/>
  <c r="BF21" i="1"/>
  <c r="BC21" i="1"/>
  <c r="BF20" i="1"/>
  <c r="BC20" i="1"/>
  <c r="BF19" i="1"/>
  <c r="BC19" i="1"/>
  <c r="BF18" i="1"/>
  <c r="BC18" i="1"/>
  <c r="BF17" i="1"/>
  <c r="BC17" i="1"/>
  <c r="BF16" i="1"/>
  <c r="BC16" i="1"/>
  <c r="BF15" i="1"/>
  <c r="BC15" i="1"/>
  <c r="BF14" i="1"/>
  <c r="BC14" i="1"/>
  <c r="BA43" i="1"/>
  <c r="AX43" i="1"/>
  <c r="BA42" i="1"/>
  <c r="AX42" i="1"/>
  <c r="BA41" i="1"/>
  <c r="AX41" i="1"/>
  <c r="BA40" i="1"/>
  <c r="AX40" i="1"/>
  <c r="BA39" i="1"/>
  <c r="AX39" i="1"/>
  <c r="BA38" i="1"/>
  <c r="AX38" i="1"/>
  <c r="BA37" i="1"/>
  <c r="AX37" i="1"/>
  <c r="BA36" i="1"/>
  <c r="AX36" i="1"/>
  <c r="BA35" i="1"/>
  <c r="AX35" i="1"/>
  <c r="BA34" i="1"/>
  <c r="AX34" i="1"/>
  <c r="BA33" i="1"/>
  <c r="AX33" i="1"/>
  <c r="BA32" i="1"/>
  <c r="AX32" i="1"/>
  <c r="BA31" i="1"/>
  <c r="AX31" i="1"/>
  <c r="BA30" i="1"/>
  <c r="AX30" i="1"/>
  <c r="BA29" i="1"/>
  <c r="AX29" i="1"/>
  <c r="BA28" i="1"/>
  <c r="AX28" i="1"/>
  <c r="BA27" i="1"/>
  <c r="AX27" i="1"/>
  <c r="BA26" i="1"/>
  <c r="AX26" i="1"/>
  <c r="BA25" i="1"/>
  <c r="AX25" i="1"/>
  <c r="BA24" i="1"/>
  <c r="AX24" i="1"/>
  <c r="BA23" i="1"/>
  <c r="AX23" i="1"/>
  <c r="BA22" i="1"/>
  <c r="AX22" i="1"/>
  <c r="BA21" i="1"/>
  <c r="AX21" i="1"/>
  <c r="BA20" i="1"/>
  <c r="AX20" i="1"/>
  <c r="BA19" i="1"/>
  <c r="AX19" i="1"/>
  <c r="BA18" i="1"/>
  <c r="AX18" i="1"/>
  <c r="BA17" i="1"/>
  <c r="AX17" i="1"/>
  <c r="BA16" i="1"/>
  <c r="AX16" i="1"/>
  <c r="BA15" i="1"/>
  <c r="AX15" i="1"/>
  <c r="BA14" i="1"/>
  <c r="AX14" i="1"/>
  <c r="AV43" i="1"/>
  <c r="AS43" i="1"/>
  <c r="AV42" i="1"/>
  <c r="AS42" i="1"/>
  <c r="AV41" i="1"/>
  <c r="AS41" i="1"/>
  <c r="AV40" i="1"/>
  <c r="AS40" i="1"/>
  <c r="AV39" i="1"/>
  <c r="AS39" i="1"/>
  <c r="AV38" i="1"/>
  <c r="AS38" i="1"/>
  <c r="AV37" i="1"/>
  <c r="AS37" i="1"/>
  <c r="AV36" i="1"/>
  <c r="AS36" i="1"/>
  <c r="AV35" i="1"/>
  <c r="AS35" i="1"/>
  <c r="AV34" i="1"/>
  <c r="AS34" i="1"/>
  <c r="AV33" i="1"/>
  <c r="AS33" i="1"/>
  <c r="AV32" i="1"/>
  <c r="AS32" i="1"/>
  <c r="AV31" i="1"/>
  <c r="AS31" i="1"/>
  <c r="AV30" i="1"/>
  <c r="AS30" i="1"/>
  <c r="AV29" i="1"/>
  <c r="AS29" i="1"/>
  <c r="AV28" i="1"/>
  <c r="AS28" i="1"/>
  <c r="AV27" i="1"/>
  <c r="AS27" i="1"/>
  <c r="AV26" i="1"/>
  <c r="AS26" i="1"/>
  <c r="AV25" i="1"/>
  <c r="AS25" i="1"/>
  <c r="AV24" i="1"/>
  <c r="AS24" i="1"/>
  <c r="AV23" i="1"/>
  <c r="AS23" i="1"/>
  <c r="AV22" i="1"/>
  <c r="AS22" i="1"/>
  <c r="AV21" i="1"/>
  <c r="AS21" i="1"/>
  <c r="AV20" i="1"/>
  <c r="AS20" i="1"/>
  <c r="AV19" i="1"/>
  <c r="AS19" i="1"/>
  <c r="AV18" i="1"/>
  <c r="AS18" i="1"/>
  <c r="AV17" i="1"/>
  <c r="AS17" i="1"/>
  <c r="AV16" i="1"/>
  <c r="AS16" i="1"/>
  <c r="AV15" i="1"/>
  <c r="AS15" i="1"/>
  <c r="AV14" i="1"/>
  <c r="AS14" i="1"/>
  <c r="AG41" i="14" l="1"/>
  <c r="AD41" i="14"/>
  <c r="AG40" i="14"/>
  <c r="AD40" i="14"/>
  <c r="AG39" i="14"/>
  <c r="AD39" i="14"/>
  <c r="AG38" i="14"/>
  <c r="AD38" i="14"/>
  <c r="AG37" i="14"/>
  <c r="AD37" i="14"/>
  <c r="AG36" i="14"/>
  <c r="AD36" i="14"/>
  <c r="AG35" i="14"/>
  <c r="AD35" i="14"/>
  <c r="AG34" i="14"/>
  <c r="AD34" i="14"/>
  <c r="AG33" i="14"/>
  <c r="AD33" i="14"/>
  <c r="AG32" i="14"/>
  <c r="AD32" i="14"/>
  <c r="AG31" i="14"/>
  <c r="AD31" i="14"/>
  <c r="AG30" i="14"/>
  <c r="AD30" i="14"/>
  <c r="AG29" i="14"/>
  <c r="AD29" i="14"/>
  <c r="AG28" i="14"/>
  <c r="AD28" i="14"/>
  <c r="AG27" i="14"/>
  <c r="AD27" i="14"/>
  <c r="AG26" i="14"/>
  <c r="AD26" i="14"/>
  <c r="AG25" i="14"/>
  <c r="AD25" i="14"/>
  <c r="AG24" i="14"/>
  <c r="AD24" i="14"/>
  <c r="AG23" i="14"/>
  <c r="AD23" i="14"/>
  <c r="AG22" i="14"/>
  <c r="AD22" i="14"/>
  <c r="AG21" i="14"/>
  <c r="AD21" i="14"/>
  <c r="AG20" i="14"/>
  <c r="AD20" i="14"/>
  <c r="AG19" i="14"/>
  <c r="AD19" i="14"/>
  <c r="AG18" i="14"/>
  <c r="AD18" i="14"/>
  <c r="AG17" i="14"/>
  <c r="AD17" i="14"/>
  <c r="AB41" i="14"/>
  <c r="Y41" i="14"/>
  <c r="AB40" i="14"/>
  <c r="Y40" i="14"/>
  <c r="AB39" i="14"/>
  <c r="Y39" i="14"/>
  <c r="AB38" i="14"/>
  <c r="Y38" i="14"/>
  <c r="AB37" i="14"/>
  <c r="Y37" i="14"/>
  <c r="AB36" i="14"/>
  <c r="Y36" i="14"/>
  <c r="AB35" i="14"/>
  <c r="Y35" i="14"/>
  <c r="AB34" i="14"/>
  <c r="Y34" i="14"/>
  <c r="AB33" i="14"/>
  <c r="Y33" i="14"/>
  <c r="AB32" i="14"/>
  <c r="Y32" i="14"/>
  <c r="AB31" i="14"/>
  <c r="Y31" i="14"/>
  <c r="AB30" i="14"/>
  <c r="Y30" i="14"/>
  <c r="AB29" i="14"/>
  <c r="Y29" i="14"/>
  <c r="AB28" i="14"/>
  <c r="Y28" i="14"/>
  <c r="AB27" i="14"/>
  <c r="Y27" i="14"/>
  <c r="AB26" i="14"/>
  <c r="Y26" i="14"/>
  <c r="AB25" i="14"/>
  <c r="Y25" i="14"/>
  <c r="AB24" i="14"/>
  <c r="Y24" i="14"/>
  <c r="AB23" i="14"/>
  <c r="Y23" i="14"/>
  <c r="AB22" i="14"/>
  <c r="Y22" i="14"/>
  <c r="AB21" i="14"/>
  <c r="Y21" i="14"/>
  <c r="AB20" i="14"/>
  <c r="Y20" i="14"/>
  <c r="AB19" i="14"/>
  <c r="Y19" i="14"/>
  <c r="AB18" i="14"/>
  <c r="Y18" i="14"/>
  <c r="AB17" i="14"/>
  <c r="Y17" i="14"/>
  <c r="W41" i="14"/>
  <c r="T41" i="14"/>
  <c r="W40" i="14"/>
  <c r="T40" i="14"/>
  <c r="W39" i="14"/>
  <c r="T39" i="14"/>
  <c r="W38" i="14"/>
  <c r="T38" i="14"/>
  <c r="W37" i="14"/>
  <c r="T37" i="14"/>
  <c r="W36" i="14"/>
  <c r="T36" i="14"/>
  <c r="W35" i="14"/>
  <c r="T35" i="14"/>
  <c r="W34" i="14"/>
  <c r="T34" i="14"/>
  <c r="W33" i="14"/>
  <c r="T33" i="14"/>
  <c r="W32" i="14"/>
  <c r="T32" i="14"/>
  <c r="W31" i="14"/>
  <c r="T31" i="14"/>
  <c r="W30" i="14"/>
  <c r="T30" i="14"/>
  <c r="W29" i="14"/>
  <c r="T29" i="14"/>
  <c r="W28" i="14"/>
  <c r="T28" i="14"/>
  <c r="W27" i="14"/>
  <c r="T27" i="14"/>
  <c r="W26" i="14"/>
  <c r="T26" i="14"/>
  <c r="W25" i="14"/>
  <c r="T25" i="14"/>
  <c r="W24" i="14"/>
  <c r="T24" i="14"/>
  <c r="W23" i="14"/>
  <c r="T23" i="14"/>
  <c r="W22" i="14"/>
  <c r="T22" i="14"/>
  <c r="W21" i="14"/>
  <c r="T21" i="14"/>
  <c r="W20" i="14"/>
  <c r="T20" i="14"/>
  <c r="W19" i="14"/>
  <c r="T19" i="14"/>
  <c r="W18" i="14"/>
  <c r="T18" i="14"/>
  <c r="W17" i="14"/>
  <c r="T17" i="14"/>
  <c r="R41" i="14"/>
  <c r="O41" i="14"/>
  <c r="R40" i="14"/>
  <c r="O40" i="14"/>
  <c r="R39" i="14"/>
  <c r="O39" i="14"/>
  <c r="R38" i="14"/>
  <c r="O38" i="14"/>
  <c r="R37" i="14"/>
  <c r="O37" i="14"/>
  <c r="R36" i="14"/>
  <c r="O36" i="14"/>
  <c r="R35" i="14"/>
  <c r="O35" i="14"/>
  <c r="R34" i="14"/>
  <c r="O34" i="14"/>
  <c r="R33" i="14"/>
  <c r="O33" i="14"/>
  <c r="R32" i="14"/>
  <c r="O32" i="14"/>
  <c r="R31" i="14"/>
  <c r="O31" i="14"/>
  <c r="R30" i="14"/>
  <c r="O30" i="14"/>
  <c r="R29" i="14"/>
  <c r="O29" i="14"/>
  <c r="R28" i="14"/>
  <c r="O28" i="14"/>
  <c r="R27" i="14"/>
  <c r="O27" i="14"/>
  <c r="R26" i="14"/>
  <c r="O26" i="14"/>
  <c r="R25" i="14"/>
  <c r="O25" i="14"/>
  <c r="R24" i="14"/>
  <c r="O24" i="14"/>
  <c r="R23" i="14"/>
  <c r="O23" i="14"/>
  <c r="R22" i="14"/>
  <c r="O22" i="14"/>
  <c r="R21" i="14"/>
  <c r="O21" i="14"/>
  <c r="R20" i="14"/>
  <c r="O20" i="14"/>
  <c r="R19" i="14"/>
  <c r="O19" i="14"/>
  <c r="R18" i="14"/>
  <c r="O18" i="14"/>
  <c r="R17" i="14"/>
  <c r="O17" i="14"/>
  <c r="M41" i="14"/>
  <c r="J41" i="14"/>
  <c r="M40" i="14"/>
  <c r="J40" i="14"/>
  <c r="M39" i="14"/>
  <c r="J39" i="14"/>
  <c r="M38" i="14"/>
  <c r="J38" i="14"/>
  <c r="M37" i="14"/>
  <c r="J37" i="14"/>
  <c r="M36" i="14"/>
  <c r="J36" i="14"/>
  <c r="M35" i="14"/>
  <c r="J35" i="14"/>
  <c r="M34" i="14"/>
  <c r="J34" i="14"/>
  <c r="M33" i="14"/>
  <c r="J33" i="14"/>
  <c r="M32" i="14"/>
  <c r="J32" i="14"/>
  <c r="M31" i="14"/>
  <c r="J31" i="14"/>
  <c r="M30" i="14"/>
  <c r="J30" i="14"/>
  <c r="M29" i="14"/>
  <c r="J29" i="14"/>
  <c r="M28" i="14"/>
  <c r="J28" i="14"/>
  <c r="M27" i="14"/>
  <c r="J27" i="14"/>
  <c r="M26" i="14"/>
  <c r="J26" i="14"/>
  <c r="M25" i="14"/>
  <c r="J25" i="14"/>
  <c r="M24" i="14"/>
  <c r="J24" i="14"/>
  <c r="M23" i="14"/>
  <c r="J23" i="14"/>
  <c r="M22" i="14"/>
  <c r="J22" i="14"/>
  <c r="M21" i="14"/>
  <c r="J21" i="14"/>
  <c r="M20" i="14"/>
  <c r="J20" i="14"/>
  <c r="M19" i="14"/>
  <c r="J19" i="14"/>
  <c r="M18" i="14"/>
  <c r="J18" i="14"/>
  <c r="M17" i="14"/>
  <c r="J17" i="14"/>
  <c r="H41" i="14"/>
  <c r="H40" i="14"/>
  <c r="H39" i="14"/>
  <c r="H38" i="14"/>
  <c r="H37" i="14"/>
  <c r="H36" i="14"/>
  <c r="H35" i="14"/>
  <c r="H34" i="14"/>
  <c r="H33" i="14"/>
  <c r="H32" i="14"/>
  <c r="H31" i="14"/>
  <c r="H30" i="14"/>
  <c r="H29" i="14"/>
  <c r="H28" i="14"/>
  <c r="H27" i="14"/>
  <c r="H26" i="14"/>
  <c r="H25" i="14"/>
  <c r="H24" i="14"/>
  <c r="H23" i="14"/>
  <c r="H22" i="14"/>
  <c r="H21" i="14"/>
  <c r="H20" i="14"/>
  <c r="H19" i="14"/>
  <c r="H18" i="14"/>
  <c r="H17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G8" i="24"/>
  <c r="G7" i="24"/>
  <c r="E7" i="24"/>
  <c r="C7" i="24"/>
  <c r="B7" i="24"/>
  <c r="G8" i="14"/>
  <c r="Z12" i="12" l="1"/>
  <c r="Z24" i="12"/>
  <c r="Z14" i="12"/>
  <c r="Z25" i="12"/>
  <c r="Z19" i="12"/>
  <c r="Z15" i="12"/>
  <c r="Z27" i="12"/>
  <c r="Z13" i="12"/>
  <c r="Z7" i="12"/>
  <c r="Z3" i="12"/>
  <c r="Z23" i="12"/>
  <c r="Z30" i="12"/>
  <c r="Z26" i="12"/>
  <c r="Z11" i="12"/>
  <c r="Z18" i="12"/>
  <c r="Z6" i="12"/>
  <c r="Z22" i="12"/>
  <c r="Z10" i="12"/>
  <c r="Z29" i="12"/>
  <c r="Z5" i="12"/>
  <c r="Z21" i="12"/>
  <c r="Z17" i="12"/>
  <c r="Z9" i="12"/>
  <c r="Z32" i="12"/>
  <c r="Z28" i="12"/>
  <c r="Z16" i="12"/>
  <c r="Z20" i="12"/>
  <c r="Z8" i="12"/>
  <c r="Z4" i="12"/>
  <c r="Z31" i="12"/>
  <c r="V10" i="12"/>
  <c r="V22" i="12"/>
  <c r="V11" i="12"/>
  <c r="V9" i="12"/>
  <c r="V13" i="12"/>
  <c r="V8" i="12"/>
  <c r="V20" i="12"/>
  <c r="V12" i="12"/>
  <c r="V19" i="12"/>
  <c r="V21" i="12"/>
  <c r="V7" i="12"/>
  <c r="V17" i="12"/>
  <c r="V18" i="12"/>
  <c r="V6" i="12"/>
  <c r="V14" i="12"/>
  <c r="V16" i="12"/>
  <c r="V4" i="12"/>
  <c r="V15" i="12"/>
  <c r="V5" i="12"/>
  <c r="V3" i="12"/>
  <c r="AQ43" i="1"/>
  <c r="AN43" i="1"/>
  <c r="AQ42" i="1"/>
  <c r="AN42" i="1"/>
  <c r="AQ41" i="1"/>
  <c r="AN41" i="1"/>
  <c r="AQ40" i="1"/>
  <c r="AN40" i="1"/>
  <c r="AQ39" i="1"/>
  <c r="AN39" i="1"/>
  <c r="AQ38" i="1"/>
  <c r="AN38" i="1"/>
  <c r="AQ37" i="1"/>
  <c r="AN37" i="1"/>
  <c r="AQ36" i="1"/>
  <c r="AN36" i="1"/>
  <c r="AQ35" i="1"/>
  <c r="AN35" i="1"/>
  <c r="AQ34" i="1"/>
  <c r="AN34" i="1"/>
  <c r="AQ33" i="1"/>
  <c r="AN33" i="1"/>
  <c r="AQ32" i="1"/>
  <c r="AN32" i="1"/>
  <c r="AQ31" i="1"/>
  <c r="AN31" i="1"/>
  <c r="AQ30" i="1"/>
  <c r="AN30" i="1"/>
  <c r="AQ29" i="1"/>
  <c r="AN29" i="1"/>
  <c r="AQ28" i="1"/>
  <c r="AN28" i="1"/>
  <c r="AQ27" i="1"/>
  <c r="AN27" i="1"/>
  <c r="AQ26" i="1"/>
  <c r="AN26" i="1"/>
  <c r="AQ25" i="1"/>
  <c r="AN25" i="1"/>
  <c r="AQ24" i="1"/>
  <c r="AN24" i="1"/>
  <c r="AQ23" i="1"/>
  <c r="AN23" i="1"/>
  <c r="AQ22" i="1"/>
  <c r="AN22" i="1"/>
  <c r="AQ21" i="1"/>
  <c r="AN21" i="1"/>
  <c r="AQ20" i="1"/>
  <c r="AN20" i="1"/>
  <c r="AQ19" i="1"/>
  <c r="AN19" i="1"/>
  <c r="AQ18" i="1"/>
  <c r="AN18" i="1"/>
  <c r="AQ17" i="1"/>
  <c r="AN17" i="1"/>
  <c r="AQ16" i="1"/>
  <c r="AN16" i="1"/>
  <c r="AQ15" i="1"/>
  <c r="AN15" i="1"/>
  <c r="AQ14" i="1"/>
  <c r="AN14" i="1"/>
  <c r="AL43" i="1"/>
  <c r="AI43" i="1"/>
  <c r="AL42" i="1"/>
  <c r="AI42" i="1"/>
  <c r="AL41" i="1"/>
  <c r="AI41" i="1"/>
  <c r="AL40" i="1"/>
  <c r="AI40" i="1"/>
  <c r="AL39" i="1"/>
  <c r="AI39" i="1"/>
  <c r="AL38" i="1"/>
  <c r="AI38" i="1"/>
  <c r="AL37" i="1"/>
  <c r="AI37" i="1"/>
  <c r="AL36" i="1"/>
  <c r="AI36" i="1"/>
  <c r="AL35" i="1"/>
  <c r="AI35" i="1"/>
  <c r="AL34" i="1"/>
  <c r="AI34" i="1"/>
  <c r="AL33" i="1"/>
  <c r="AI33" i="1"/>
  <c r="AL32" i="1"/>
  <c r="AI32" i="1"/>
  <c r="AL31" i="1"/>
  <c r="AI31" i="1"/>
  <c r="AL30" i="1"/>
  <c r="AI30" i="1"/>
  <c r="AL29" i="1"/>
  <c r="AI29" i="1"/>
  <c r="AL28" i="1"/>
  <c r="AI28" i="1"/>
  <c r="AL27" i="1"/>
  <c r="AI27" i="1"/>
  <c r="AL26" i="1"/>
  <c r="AI26" i="1"/>
  <c r="AL25" i="1"/>
  <c r="AI25" i="1"/>
  <c r="AL24" i="1"/>
  <c r="AI24" i="1"/>
  <c r="AL23" i="1"/>
  <c r="AI23" i="1"/>
  <c r="AL22" i="1"/>
  <c r="AI22" i="1"/>
  <c r="AL21" i="1"/>
  <c r="AI21" i="1"/>
  <c r="AL20" i="1"/>
  <c r="AI20" i="1"/>
  <c r="AL19" i="1"/>
  <c r="AI19" i="1"/>
  <c r="AL18" i="1"/>
  <c r="AI18" i="1"/>
  <c r="AL17" i="1"/>
  <c r="AI17" i="1"/>
  <c r="AL16" i="1"/>
  <c r="AI16" i="1"/>
  <c r="AL15" i="1"/>
  <c r="AI15" i="1"/>
  <c r="AL14" i="1"/>
  <c r="AI14" i="1"/>
  <c r="AG43" i="1"/>
  <c r="AD43" i="1"/>
  <c r="AG42" i="1"/>
  <c r="AD42" i="1"/>
  <c r="AG41" i="1"/>
  <c r="AD41" i="1"/>
  <c r="AG40" i="1"/>
  <c r="AD40" i="1"/>
  <c r="AG39" i="1"/>
  <c r="AD39" i="1"/>
  <c r="AG38" i="1"/>
  <c r="AD38" i="1"/>
  <c r="AG37" i="1"/>
  <c r="AD37" i="1"/>
  <c r="AG36" i="1"/>
  <c r="AD36" i="1"/>
  <c r="AG35" i="1"/>
  <c r="AD35" i="1"/>
  <c r="AG34" i="1"/>
  <c r="AD34" i="1"/>
  <c r="AG33" i="1"/>
  <c r="AD33" i="1"/>
  <c r="AG32" i="1"/>
  <c r="AD32" i="1"/>
  <c r="AG31" i="1"/>
  <c r="AD31" i="1"/>
  <c r="AG30" i="1"/>
  <c r="AD30" i="1"/>
  <c r="AG29" i="1"/>
  <c r="AD29" i="1"/>
  <c r="AG28" i="1"/>
  <c r="AD28" i="1"/>
  <c r="AG27" i="1"/>
  <c r="AD27" i="1"/>
  <c r="AG26" i="1"/>
  <c r="AD26" i="1"/>
  <c r="AG25" i="1"/>
  <c r="AD25" i="1"/>
  <c r="AG24" i="1"/>
  <c r="AD24" i="1"/>
  <c r="AG23" i="1"/>
  <c r="AD23" i="1"/>
  <c r="AG22" i="1"/>
  <c r="AD22" i="1"/>
  <c r="AG21" i="1"/>
  <c r="AD21" i="1"/>
  <c r="AG20" i="1"/>
  <c r="AD20" i="1"/>
  <c r="AG19" i="1"/>
  <c r="AD19" i="1"/>
  <c r="AG18" i="1"/>
  <c r="AD18" i="1"/>
  <c r="AG17" i="1"/>
  <c r="AD17" i="1"/>
  <c r="AG16" i="1"/>
  <c r="AD16" i="1"/>
  <c r="AG15" i="1"/>
  <c r="AD15" i="1"/>
  <c r="AG14" i="1"/>
  <c r="AD14" i="1"/>
  <c r="AB43" i="1"/>
  <c r="Y43" i="1"/>
  <c r="AB42" i="1"/>
  <c r="Y42" i="1"/>
  <c r="AB41" i="1"/>
  <c r="Y41" i="1"/>
  <c r="AB40" i="1"/>
  <c r="Y40" i="1"/>
  <c r="AB39" i="1"/>
  <c r="Y39" i="1"/>
  <c r="AB38" i="1"/>
  <c r="Y38" i="1"/>
  <c r="AB37" i="1"/>
  <c r="Y37" i="1"/>
  <c r="AB36" i="1"/>
  <c r="Y36" i="1"/>
  <c r="AB35" i="1"/>
  <c r="Y35" i="1"/>
  <c r="AB34" i="1"/>
  <c r="Y34" i="1"/>
  <c r="AB33" i="1"/>
  <c r="Y33" i="1"/>
  <c r="AB32" i="1"/>
  <c r="Y32" i="1"/>
  <c r="AB31" i="1"/>
  <c r="Y31" i="1"/>
  <c r="AB30" i="1"/>
  <c r="Y30" i="1"/>
  <c r="AB29" i="1"/>
  <c r="Y29" i="1"/>
  <c r="AB28" i="1"/>
  <c r="Y28" i="1"/>
  <c r="AB27" i="1"/>
  <c r="Y27" i="1"/>
  <c r="AB26" i="1"/>
  <c r="Y26" i="1"/>
  <c r="AB25" i="1"/>
  <c r="Y25" i="1"/>
  <c r="AB24" i="1"/>
  <c r="Y24" i="1"/>
  <c r="AB23" i="1"/>
  <c r="Y23" i="1"/>
  <c r="AB22" i="1"/>
  <c r="Y22" i="1"/>
  <c r="AB21" i="1"/>
  <c r="Y21" i="1"/>
  <c r="AB20" i="1"/>
  <c r="Y20" i="1"/>
  <c r="AB19" i="1"/>
  <c r="Y19" i="1"/>
  <c r="AB18" i="1"/>
  <c r="Y18" i="1"/>
  <c r="AB17" i="1"/>
  <c r="Y17" i="1"/>
  <c r="AB16" i="1"/>
  <c r="Y16" i="1"/>
  <c r="AB15" i="1"/>
  <c r="Y15" i="1"/>
  <c r="AB14" i="1"/>
  <c r="Y14" i="1"/>
  <c r="W43" i="1"/>
  <c r="T43" i="1"/>
  <c r="W42" i="1"/>
  <c r="T42" i="1"/>
  <c r="W41" i="1"/>
  <c r="T41" i="1"/>
  <c r="W40" i="1"/>
  <c r="T40" i="1"/>
  <c r="W39" i="1"/>
  <c r="T39" i="1"/>
  <c r="W38" i="1"/>
  <c r="T38" i="1"/>
  <c r="W37" i="1"/>
  <c r="T37" i="1"/>
  <c r="W36" i="1"/>
  <c r="T36" i="1"/>
  <c r="W35" i="1"/>
  <c r="T35" i="1"/>
  <c r="W34" i="1"/>
  <c r="T34" i="1"/>
  <c r="W33" i="1"/>
  <c r="T33" i="1"/>
  <c r="W32" i="1"/>
  <c r="T32" i="1"/>
  <c r="W31" i="1"/>
  <c r="T31" i="1"/>
  <c r="W30" i="1"/>
  <c r="T30" i="1"/>
  <c r="W29" i="1"/>
  <c r="T29" i="1"/>
  <c r="W28" i="1"/>
  <c r="T28" i="1"/>
  <c r="W27" i="1"/>
  <c r="T27" i="1"/>
  <c r="W26" i="1"/>
  <c r="T26" i="1"/>
  <c r="W25" i="1"/>
  <c r="T25" i="1"/>
  <c r="W24" i="1"/>
  <c r="T24" i="1"/>
  <c r="W23" i="1"/>
  <c r="T23" i="1"/>
  <c r="W22" i="1"/>
  <c r="W21" i="1"/>
  <c r="W20" i="1"/>
  <c r="T20" i="1"/>
  <c r="W19" i="1"/>
  <c r="T19" i="1"/>
  <c r="W18" i="1"/>
  <c r="T18" i="1"/>
  <c r="W17" i="1"/>
  <c r="T17" i="1"/>
  <c r="W16" i="1"/>
  <c r="T16" i="1"/>
  <c r="W15" i="1"/>
  <c r="T15" i="1"/>
  <c r="W14" i="1"/>
  <c r="T14" i="1"/>
  <c r="R43" i="1"/>
  <c r="O43" i="1"/>
  <c r="R42" i="1"/>
  <c r="O42" i="1"/>
  <c r="R41" i="1"/>
  <c r="O41" i="1"/>
  <c r="R40" i="1"/>
  <c r="O40" i="1"/>
  <c r="R39" i="1"/>
  <c r="O39" i="1"/>
  <c r="R38" i="1"/>
  <c r="O38" i="1"/>
  <c r="R37" i="1"/>
  <c r="O37" i="1"/>
  <c r="R36" i="1"/>
  <c r="O36" i="1"/>
  <c r="R35" i="1"/>
  <c r="O35" i="1"/>
  <c r="R34" i="1"/>
  <c r="O34" i="1"/>
  <c r="R33" i="1"/>
  <c r="O33" i="1"/>
  <c r="R32" i="1"/>
  <c r="O32" i="1"/>
  <c r="R31" i="1"/>
  <c r="O31" i="1"/>
  <c r="R30" i="1"/>
  <c r="O30" i="1"/>
  <c r="R29" i="1"/>
  <c r="O29" i="1"/>
  <c r="R28" i="1"/>
  <c r="O28" i="1"/>
  <c r="R27" i="1"/>
  <c r="O27" i="1"/>
  <c r="R26" i="1"/>
  <c r="O26" i="1"/>
  <c r="R25" i="1"/>
  <c r="O25" i="1"/>
  <c r="R24" i="1"/>
  <c r="O24" i="1"/>
  <c r="R23" i="1"/>
  <c r="O23" i="1"/>
  <c r="R20" i="1"/>
  <c r="O20" i="1"/>
  <c r="R19" i="1"/>
  <c r="O19" i="1"/>
  <c r="R18" i="1"/>
  <c r="O18" i="1"/>
  <c r="R17" i="1"/>
  <c r="O17" i="1"/>
  <c r="R16" i="1"/>
  <c r="O16" i="1"/>
  <c r="R15" i="1"/>
  <c r="O15" i="1"/>
  <c r="R14" i="1"/>
  <c r="O14" i="1"/>
  <c r="M43" i="1"/>
  <c r="J43" i="1"/>
  <c r="M42" i="1"/>
  <c r="J42" i="1"/>
  <c r="M41" i="1"/>
  <c r="J41" i="1"/>
  <c r="M40" i="1"/>
  <c r="J40" i="1"/>
  <c r="M39" i="1"/>
  <c r="J39" i="1"/>
  <c r="M38" i="1"/>
  <c r="J38" i="1"/>
  <c r="M37" i="1"/>
  <c r="J37" i="1"/>
  <c r="M36" i="1"/>
  <c r="J36" i="1"/>
  <c r="M35" i="1"/>
  <c r="J35" i="1"/>
  <c r="M34" i="1"/>
  <c r="J34" i="1"/>
  <c r="M33" i="1"/>
  <c r="J33" i="1"/>
  <c r="M32" i="1"/>
  <c r="J32" i="1"/>
  <c r="M31" i="1"/>
  <c r="J31" i="1"/>
  <c r="M30" i="1"/>
  <c r="J30" i="1"/>
  <c r="M29" i="1"/>
  <c r="J29" i="1"/>
  <c r="M28" i="1"/>
  <c r="J28" i="1"/>
  <c r="M27" i="1"/>
  <c r="J27" i="1"/>
  <c r="M26" i="1"/>
  <c r="J26" i="1"/>
  <c r="M25" i="1"/>
  <c r="J25" i="1"/>
  <c r="M24" i="1"/>
  <c r="J24" i="1"/>
  <c r="M23" i="1"/>
  <c r="J23" i="1"/>
  <c r="M20" i="1"/>
  <c r="J20" i="1"/>
  <c r="M19" i="1"/>
  <c r="J19" i="1"/>
  <c r="M18" i="1"/>
  <c r="J18" i="1"/>
  <c r="M17" i="1"/>
  <c r="J17" i="1"/>
  <c r="M16" i="1"/>
  <c r="J16" i="1"/>
  <c r="M15" i="1"/>
  <c r="J15" i="1"/>
  <c r="M14" i="1"/>
  <c r="J14" i="1"/>
  <c r="AP29" i="13"/>
  <c r="AM29" i="13"/>
  <c r="AP28" i="13"/>
  <c r="AM28" i="13"/>
  <c r="AP27" i="13"/>
  <c r="AM27" i="13"/>
  <c r="AP26" i="13"/>
  <c r="AM26" i="13"/>
  <c r="AP24" i="13"/>
  <c r="AM24" i="13"/>
  <c r="AP23" i="13"/>
  <c r="AM23" i="13"/>
  <c r="AP22" i="13"/>
  <c r="AM22" i="13"/>
  <c r="AP21" i="13"/>
  <c r="AM21" i="13"/>
  <c r="AP20" i="13"/>
  <c r="AM20" i="13"/>
  <c r="AP19" i="13"/>
  <c r="AM19" i="13"/>
  <c r="AP18" i="13"/>
  <c r="AM18" i="13"/>
  <c r="AP17" i="13"/>
  <c r="AM17" i="13"/>
  <c r="AP16" i="13"/>
  <c r="AM16" i="13"/>
  <c r="AP15" i="13"/>
  <c r="AM15" i="13"/>
  <c r="AP14" i="13"/>
  <c r="AM14" i="13"/>
  <c r="AK29" i="13"/>
  <c r="AH29" i="13"/>
  <c r="AK28" i="13"/>
  <c r="AH28" i="13"/>
  <c r="AK27" i="13"/>
  <c r="AH27" i="13"/>
  <c r="AK26" i="13"/>
  <c r="AH26" i="13"/>
  <c r="AK24" i="13"/>
  <c r="AH24" i="13"/>
  <c r="AK23" i="13"/>
  <c r="AH23" i="13"/>
  <c r="AK22" i="13"/>
  <c r="AH22" i="13"/>
  <c r="AK21" i="13"/>
  <c r="AH21" i="13"/>
  <c r="AK20" i="13"/>
  <c r="AH20" i="13"/>
  <c r="AK19" i="13"/>
  <c r="AH19" i="13"/>
  <c r="AK18" i="13"/>
  <c r="AH18" i="13"/>
  <c r="AK17" i="13"/>
  <c r="AH17" i="13"/>
  <c r="AK16" i="13"/>
  <c r="AH16" i="13"/>
  <c r="AK15" i="13"/>
  <c r="AH15" i="13"/>
  <c r="AK14" i="13"/>
  <c r="AH14" i="13"/>
  <c r="AF29" i="13"/>
  <c r="AC29" i="13"/>
  <c r="AF28" i="13"/>
  <c r="AC28" i="13"/>
  <c r="AF27" i="13"/>
  <c r="AC27" i="13"/>
  <c r="AF26" i="13"/>
  <c r="AC26" i="13"/>
  <c r="AF24" i="13"/>
  <c r="AC24" i="13"/>
  <c r="AF23" i="13"/>
  <c r="AC23" i="13"/>
  <c r="AF22" i="13"/>
  <c r="AC22" i="13"/>
  <c r="AF21" i="13"/>
  <c r="AC21" i="13"/>
  <c r="AF20" i="13"/>
  <c r="AC20" i="13"/>
  <c r="AF19" i="13"/>
  <c r="AC19" i="13"/>
  <c r="AF18" i="13"/>
  <c r="AC18" i="13"/>
  <c r="AF17" i="13"/>
  <c r="AC17" i="13"/>
  <c r="AF16" i="13"/>
  <c r="AC16" i="13"/>
  <c r="AF15" i="13"/>
  <c r="AC15" i="13"/>
  <c r="AF14" i="13"/>
  <c r="AC14" i="13"/>
  <c r="AA29" i="13"/>
  <c r="X29" i="13"/>
  <c r="AA28" i="13"/>
  <c r="X28" i="13"/>
  <c r="AA27" i="13"/>
  <c r="X27" i="13"/>
  <c r="AA26" i="13"/>
  <c r="X26" i="13"/>
  <c r="AA24" i="13"/>
  <c r="X24" i="13"/>
  <c r="AA23" i="13"/>
  <c r="X23" i="13"/>
  <c r="AA22" i="13"/>
  <c r="X22" i="13"/>
  <c r="AA21" i="13"/>
  <c r="X21" i="13"/>
  <c r="AA20" i="13"/>
  <c r="X20" i="13"/>
  <c r="AA19" i="13"/>
  <c r="X19" i="13"/>
  <c r="AA18" i="13"/>
  <c r="X18" i="13"/>
  <c r="AA17" i="13"/>
  <c r="X17" i="13"/>
  <c r="AA16" i="13"/>
  <c r="X16" i="13"/>
  <c r="AA15" i="13"/>
  <c r="X15" i="13"/>
  <c r="AA14" i="13"/>
  <c r="X14" i="13"/>
  <c r="V29" i="13"/>
  <c r="S29" i="13"/>
  <c r="V28" i="13"/>
  <c r="S28" i="13"/>
  <c r="V27" i="13"/>
  <c r="S27" i="13"/>
  <c r="V26" i="13"/>
  <c r="S26" i="13"/>
  <c r="V24" i="13"/>
  <c r="S24" i="13"/>
  <c r="V23" i="13"/>
  <c r="S23" i="13"/>
  <c r="V22" i="13"/>
  <c r="S22" i="13"/>
  <c r="V21" i="13"/>
  <c r="S21" i="13"/>
  <c r="V20" i="13"/>
  <c r="S20" i="13"/>
  <c r="V19" i="13"/>
  <c r="S19" i="13"/>
  <c r="V18" i="13"/>
  <c r="S18" i="13"/>
  <c r="V17" i="13"/>
  <c r="S17" i="13"/>
  <c r="V16" i="13"/>
  <c r="S16" i="13"/>
  <c r="V15" i="13"/>
  <c r="S15" i="13"/>
  <c r="V14" i="13"/>
  <c r="S14" i="13"/>
  <c r="Q29" i="13"/>
  <c r="N29" i="13"/>
  <c r="Q28" i="13"/>
  <c r="N28" i="13"/>
  <c r="Q27" i="13"/>
  <c r="N27" i="13"/>
  <c r="Q26" i="13"/>
  <c r="N26" i="13"/>
  <c r="Q24" i="13"/>
  <c r="N24" i="13"/>
  <c r="Q23" i="13"/>
  <c r="N23" i="13"/>
  <c r="Q22" i="13"/>
  <c r="N22" i="13"/>
  <c r="Q21" i="13"/>
  <c r="N21" i="13"/>
  <c r="Q20" i="13"/>
  <c r="N20" i="13"/>
  <c r="Q19" i="13"/>
  <c r="N19" i="13"/>
  <c r="Q18" i="13"/>
  <c r="N18" i="13"/>
  <c r="Q17" i="13"/>
  <c r="N17" i="13"/>
  <c r="Q16" i="13"/>
  <c r="N16" i="13"/>
  <c r="Q15" i="13"/>
  <c r="N15" i="13"/>
  <c r="Q14" i="13"/>
  <c r="N14" i="13"/>
  <c r="L29" i="13"/>
  <c r="I29" i="13"/>
  <c r="L28" i="13"/>
  <c r="I28" i="13"/>
  <c r="L27" i="13"/>
  <c r="I27" i="13"/>
  <c r="L26" i="13"/>
  <c r="I26" i="13"/>
  <c r="L24" i="13"/>
  <c r="I24" i="13"/>
  <c r="L23" i="13"/>
  <c r="I23" i="13"/>
  <c r="L22" i="13"/>
  <c r="I22" i="13"/>
  <c r="L21" i="13"/>
  <c r="I21" i="13"/>
  <c r="L20" i="13"/>
  <c r="I20" i="13"/>
  <c r="L19" i="13"/>
  <c r="I19" i="13"/>
  <c r="L18" i="13"/>
  <c r="I18" i="13"/>
  <c r="L17" i="13"/>
  <c r="I17" i="13"/>
  <c r="L16" i="13"/>
  <c r="I16" i="13"/>
  <c r="L15" i="13"/>
  <c r="I15" i="13"/>
  <c r="L14" i="13"/>
  <c r="I14" i="13"/>
  <c r="J27" i="24" l="1"/>
  <c r="G27" i="24"/>
  <c r="J26" i="24"/>
  <c r="G26" i="24"/>
  <c r="E26" i="24"/>
  <c r="J25" i="24"/>
  <c r="G25" i="24"/>
  <c r="J24" i="24"/>
  <c r="G24" i="24"/>
  <c r="E24" i="24"/>
  <c r="J23" i="24"/>
  <c r="G23" i="24"/>
  <c r="J22" i="24"/>
  <c r="G22" i="24"/>
  <c r="E22" i="24"/>
  <c r="J21" i="24"/>
  <c r="G21" i="24"/>
  <c r="J20" i="24"/>
  <c r="G20" i="24"/>
  <c r="E20" i="24"/>
  <c r="J19" i="24"/>
  <c r="G19" i="24"/>
  <c r="J18" i="24"/>
  <c r="G18" i="24"/>
  <c r="E18" i="24"/>
  <c r="J17" i="24"/>
  <c r="G17" i="24"/>
  <c r="J16" i="24"/>
  <c r="G16" i="24"/>
  <c r="E16" i="24"/>
  <c r="J15" i="24"/>
  <c r="G15" i="24"/>
  <c r="J14" i="24"/>
  <c r="G14" i="24"/>
  <c r="E14" i="24"/>
  <c r="J13" i="24"/>
  <c r="G13" i="24"/>
  <c r="J12" i="24"/>
  <c r="G12" i="24"/>
  <c r="E26" i="22"/>
  <c r="E24" i="22"/>
  <c r="E22" i="22"/>
  <c r="E20" i="22"/>
  <c r="E18" i="22"/>
  <c r="E16" i="22"/>
  <c r="E14" i="22"/>
  <c r="E12" i="22"/>
  <c r="H10" i="1"/>
  <c r="H10" i="13"/>
  <c r="I10" i="15"/>
  <c r="G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G12" i="22"/>
  <c r="G7" i="22"/>
  <c r="E7" i="22"/>
  <c r="C7" i="22"/>
  <c r="B7" i="22"/>
  <c r="B44" i="9"/>
  <c r="B41" i="9"/>
  <c r="B38" i="9"/>
  <c r="B35" i="9"/>
  <c r="B32" i="9"/>
  <c r="B29" i="9"/>
  <c r="B26" i="9"/>
  <c r="B23" i="9"/>
  <c r="B20" i="9"/>
  <c r="B17" i="9"/>
  <c r="B14" i="9"/>
  <c r="ES37" i="15"/>
  <c r="ES36" i="15"/>
  <c r="ES35" i="15"/>
  <c r="ES34" i="15"/>
  <c r="ES33" i="15"/>
  <c r="ES32" i="15"/>
  <c r="ES31" i="15"/>
  <c r="ES30" i="15"/>
  <c r="ES29" i="15"/>
  <c r="ES28" i="15"/>
  <c r="ES27" i="15"/>
  <c r="ES26" i="15"/>
  <c r="ES25" i="15"/>
  <c r="ES24" i="15"/>
  <c r="ES23" i="15"/>
  <c r="ES22" i="15"/>
  <c r="ES21" i="15"/>
  <c r="ES20" i="15"/>
  <c r="ES19" i="15"/>
  <c r="ES18" i="15"/>
  <c r="ES17" i="15"/>
  <c r="ES16" i="15"/>
  <c r="ES15" i="15"/>
  <c r="ES14" i="15"/>
  <c r="EM37" i="15"/>
  <c r="EM36" i="15"/>
  <c r="EM35" i="15"/>
  <c r="EM34" i="15"/>
  <c r="EM33" i="15"/>
  <c r="EM32" i="15"/>
  <c r="EM31" i="15"/>
  <c r="EM30" i="15"/>
  <c r="EM29" i="15"/>
  <c r="EM28" i="15"/>
  <c r="EM27" i="15"/>
  <c r="EM26" i="15"/>
  <c r="EM25" i="15"/>
  <c r="EM24" i="15"/>
  <c r="EM23" i="15"/>
  <c r="EM22" i="15"/>
  <c r="EM21" i="15"/>
  <c r="EM20" i="15"/>
  <c r="EM19" i="15"/>
  <c r="EM18" i="15"/>
  <c r="EM17" i="15"/>
  <c r="EM16" i="15"/>
  <c r="EM15" i="15"/>
  <c r="EM14" i="15"/>
  <c r="EG37" i="15"/>
  <c r="EG36" i="15"/>
  <c r="EG35" i="15"/>
  <c r="EG34" i="15"/>
  <c r="EG33" i="15"/>
  <c r="EG32" i="15"/>
  <c r="EG31" i="15"/>
  <c r="EG30" i="15"/>
  <c r="EG29" i="15"/>
  <c r="EG28" i="15"/>
  <c r="EG27" i="15"/>
  <c r="EG26" i="15"/>
  <c r="EG25" i="15"/>
  <c r="EG24" i="15"/>
  <c r="EG23" i="15"/>
  <c r="EG22" i="15"/>
  <c r="EG21" i="15"/>
  <c r="EG20" i="15"/>
  <c r="EG19" i="15"/>
  <c r="EG18" i="15"/>
  <c r="EG17" i="15"/>
  <c r="EG16" i="15"/>
  <c r="EG15" i="15"/>
  <c r="EG14" i="15"/>
  <c r="EA37" i="15"/>
  <c r="EA36" i="15"/>
  <c r="EA35" i="15"/>
  <c r="EA34" i="15"/>
  <c r="EA33" i="15"/>
  <c r="EA32" i="15"/>
  <c r="EA31" i="15"/>
  <c r="EA30" i="15"/>
  <c r="EA29" i="15"/>
  <c r="EA28" i="15"/>
  <c r="EA27" i="15"/>
  <c r="EA26" i="15"/>
  <c r="EA25" i="15"/>
  <c r="EA24" i="15"/>
  <c r="EA23" i="15"/>
  <c r="EA22" i="15"/>
  <c r="EA21" i="15"/>
  <c r="EA20" i="15"/>
  <c r="EA19" i="15"/>
  <c r="EA18" i="15"/>
  <c r="EA17" i="15"/>
  <c r="EA16" i="15"/>
  <c r="EA15" i="15"/>
  <c r="EA14" i="15"/>
  <c r="DU37" i="15"/>
  <c r="DU36" i="15"/>
  <c r="DU35" i="15"/>
  <c r="DU34" i="15"/>
  <c r="DU33" i="15"/>
  <c r="DU32" i="15"/>
  <c r="DU31" i="15"/>
  <c r="DU30" i="15"/>
  <c r="DU29" i="15"/>
  <c r="DU28" i="15"/>
  <c r="DU27" i="15"/>
  <c r="DU26" i="15"/>
  <c r="DU25" i="15"/>
  <c r="DU24" i="15"/>
  <c r="DU23" i="15"/>
  <c r="DU22" i="15"/>
  <c r="DU21" i="15"/>
  <c r="DU20" i="15"/>
  <c r="DU19" i="15"/>
  <c r="DU18" i="15"/>
  <c r="DU17" i="15"/>
  <c r="DU16" i="15"/>
  <c r="DU15" i="15"/>
  <c r="DU14" i="15"/>
  <c r="DO37" i="15"/>
  <c r="DO36" i="15"/>
  <c r="DO35" i="15"/>
  <c r="DO34" i="15"/>
  <c r="DO33" i="15"/>
  <c r="DO32" i="15"/>
  <c r="DO31" i="15"/>
  <c r="DO30" i="15"/>
  <c r="DO29" i="15"/>
  <c r="DO28" i="15"/>
  <c r="DO27" i="15"/>
  <c r="DO26" i="15"/>
  <c r="DO25" i="15"/>
  <c r="DO24" i="15"/>
  <c r="DO23" i="15"/>
  <c r="DO22" i="15"/>
  <c r="DO21" i="15"/>
  <c r="DO20" i="15"/>
  <c r="DO19" i="15"/>
  <c r="DO18" i="15"/>
  <c r="DO17" i="15"/>
  <c r="DO16" i="15"/>
  <c r="DO15" i="15"/>
  <c r="DO14" i="15"/>
  <c r="DI37" i="15"/>
  <c r="DI36" i="15"/>
  <c r="DI35" i="15"/>
  <c r="DI34" i="15"/>
  <c r="DI33" i="15"/>
  <c r="DI32" i="15"/>
  <c r="DI31" i="15"/>
  <c r="DI30" i="15"/>
  <c r="DI29" i="15"/>
  <c r="DI28" i="15"/>
  <c r="DI27" i="15"/>
  <c r="DI26" i="15"/>
  <c r="DI25" i="15"/>
  <c r="DI24" i="15"/>
  <c r="DI23" i="15"/>
  <c r="DI22" i="15"/>
  <c r="DI21" i="15"/>
  <c r="DI20" i="15"/>
  <c r="DI19" i="15"/>
  <c r="DI18" i="15"/>
  <c r="DI17" i="15"/>
  <c r="DI16" i="15"/>
  <c r="DI15" i="15"/>
  <c r="DI14" i="15"/>
  <c r="DC37" i="15"/>
  <c r="DC36" i="15"/>
  <c r="DC35" i="15"/>
  <c r="DC34" i="15"/>
  <c r="DC33" i="15"/>
  <c r="DC32" i="15"/>
  <c r="DC31" i="15"/>
  <c r="DC30" i="15"/>
  <c r="DC29" i="15"/>
  <c r="DC28" i="15"/>
  <c r="DC27" i="15"/>
  <c r="DC26" i="15"/>
  <c r="DC25" i="15"/>
  <c r="DC24" i="15"/>
  <c r="DC23" i="15"/>
  <c r="DC22" i="15"/>
  <c r="DC21" i="15"/>
  <c r="DC20" i="15"/>
  <c r="DC19" i="15"/>
  <c r="DC18" i="15"/>
  <c r="DC17" i="15"/>
  <c r="DC16" i="15"/>
  <c r="DC15" i="15"/>
  <c r="DC14" i="15"/>
  <c r="CW37" i="15"/>
  <c r="CW36" i="15"/>
  <c r="CW35" i="15"/>
  <c r="CW34" i="15"/>
  <c r="CW33" i="15"/>
  <c r="CW32" i="15"/>
  <c r="CW31" i="15"/>
  <c r="CW30" i="15"/>
  <c r="CW29" i="15"/>
  <c r="CW28" i="15"/>
  <c r="CW27" i="15"/>
  <c r="CW26" i="15"/>
  <c r="CW25" i="15"/>
  <c r="CW24" i="15"/>
  <c r="CW23" i="15"/>
  <c r="CW22" i="15"/>
  <c r="CW21" i="15"/>
  <c r="CW20" i="15"/>
  <c r="CW19" i="15"/>
  <c r="CW18" i="15"/>
  <c r="CW17" i="15"/>
  <c r="CW16" i="15"/>
  <c r="CW15" i="15"/>
  <c r="CW14" i="15"/>
  <c r="CQ37" i="15"/>
  <c r="CQ36" i="15"/>
  <c r="CQ35" i="15"/>
  <c r="CQ34" i="15"/>
  <c r="CQ33" i="15"/>
  <c r="CQ32" i="15"/>
  <c r="CQ31" i="15"/>
  <c r="CQ30" i="15"/>
  <c r="CQ29" i="15"/>
  <c r="CQ28" i="15"/>
  <c r="CQ27" i="15"/>
  <c r="CQ26" i="15"/>
  <c r="CQ25" i="15"/>
  <c r="CQ24" i="15"/>
  <c r="CQ23" i="15"/>
  <c r="CQ22" i="15"/>
  <c r="CQ21" i="15"/>
  <c r="CQ20" i="15"/>
  <c r="CQ19" i="15"/>
  <c r="CQ18" i="15"/>
  <c r="CQ17" i="15"/>
  <c r="CQ16" i="15"/>
  <c r="CQ15" i="15"/>
  <c r="CQ14" i="15"/>
  <c r="CK37" i="15"/>
  <c r="CK36" i="15"/>
  <c r="CK35" i="15"/>
  <c r="CK34" i="15"/>
  <c r="CK33" i="15"/>
  <c r="CK32" i="15"/>
  <c r="CK31" i="15"/>
  <c r="CK30" i="15"/>
  <c r="CK29" i="15"/>
  <c r="CK28" i="15"/>
  <c r="CK27" i="15"/>
  <c r="CK26" i="15"/>
  <c r="CK25" i="15"/>
  <c r="CK24" i="15"/>
  <c r="CK23" i="15"/>
  <c r="CK22" i="15"/>
  <c r="CK21" i="15"/>
  <c r="CK20" i="15"/>
  <c r="CK19" i="15"/>
  <c r="CK18" i="15"/>
  <c r="CK17" i="15"/>
  <c r="CK16" i="15"/>
  <c r="CK15" i="15"/>
  <c r="CK14" i="15"/>
  <c r="CE37" i="15"/>
  <c r="CE36" i="15"/>
  <c r="CE35" i="15"/>
  <c r="CE34" i="15"/>
  <c r="CE33" i="15"/>
  <c r="CE32" i="15"/>
  <c r="CE31" i="15"/>
  <c r="CE30" i="15"/>
  <c r="CE29" i="15"/>
  <c r="CE28" i="15"/>
  <c r="CE27" i="15"/>
  <c r="CE26" i="15"/>
  <c r="CE25" i="15"/>
  <c r="CE24" i="15"/>
  <c r="CE23" i="15"/>
  <c r="CE22" i="15"/>
  <c r="CE21" i="15"/>
  <c r="CE20" i="15"/>
  <c r="CE19" i="15"/>
  <c r="CE18" i="15"/>
  <c r="CE17" i="15"/>
  <c r="CE16" i="15"/>
  <c r="CE15" i="15"/>
  <c r="CE14" i="15"/>
  <c r="BY37" i="15"/>
  <c r="BY36" i="15"/>
  <c r="BY35" i="15"/>
  <c r="BY34" i="15"/>
  <c r="BY33" i="15"/>
  <c r="BY32" i="15"/>
  <c r="BY31" i="15"/>
  <c r="BY30" i="15"/>
  <c r="BY29" i="15"/>
  <c r="BY28" i="15"/>
  <c r="BY27" i="15"/>
  <c r="BY26" i="15"/>
  <c r="BY25" i="15"/>
  <c r="BY24" i="15"/>
  <c r="BY23" i="15"/>
  <c r="BY22" i="15"/>
  <c r="BY21" i="15"/>
  <c r="BY20" i="15"/>
  <c r="BY19" i="15"/>
  <c r="BY18" i="15"/>
  <c r="BY17" i="15"/>
  <c r="BY16" i="15"/>
  <c r="BY15" i="15"/>
  <c r="BY14" i="15"/>
  <c r="BS37" i="15"/>
  <c r="BS36" i="15"/>
  <c r="BS35" i="15"/>
  <c r="BS34" i="15"/>
  <c r="BS33" i="15"/>
  <c r="BS32" i="15"/>
  <c r="BS31" i="15"/>
  <c r="BS30" i="15"/>
  <c r="BS29" i="15"/>
  <c r="BS28" i="15"/>
  <c r="BS27" i="15"/>
  <c r="BS26" i="15"/>
  <c r="BS25" i="15"/>
  <c r="BS24" i="15"/>
  <c r="BS23" i="15"/>
  <c r="BS22" i="15"/>
  <c r="BS21" i="15"/>
  <c r="BS20" i="15"/>
  <c r="BS19" i="15"/>
  <c r="BS18" i="15"/>
  <c r="BS17" i="15"/>
  <c r="BS16" i="15"/>
  <c r="BS15" i="15"/>
  <c r="BS14" i="15"/>
  <c r="BM37" i="15"/>
  <c r="BM36" i="15"/>
  <c r="BM35" i="15"/>
  <c r="BM34" i="15"/>
  <c r="BM33" i="15"/>
  <c r="BM32" i="15"/>
  <c r="BM31" i="15"/>
  <c r="BM30" i="15"/>
  <c r="BM29" i="15"/>
  <c r="BM28" i="15"/>
  <c r="BM27" i="15"/>
  <c r="BM26" i="15"/>
  <c r="BM25" i="15"/>
  <c r="BM24" i="15"/>
  <c r="BM23" i="15"/>
  <c r="BM22" i="15"/>
  <c r="BM21" i="15"/>
  <c r="BM20" i="15"/>
  <c r="BM19" i="15"/>
  <c r="BM18" i="15"/>
  <c r="BM17" i="15"/>
  <c r="BM16" i="15"/>
  <c r="BM15" i="15"/>
  <c r="BM14" i="15"/>
  <c r="BG37" i="15"/>
  <c r="BG36" i="15"/>
  <c r="BG35" i="15"/>
  <c r="BG34" i="15"/>
  <c r="BG33" i="15"/>
  <c r="BG32" i="15"/>
  <c r="BG31" i="15"/>
  <c r="BG30" i="15"/>
  <c r="BG29" i="15"/>
  <c r="BG28" i="15"/>
  <c r="BG27" i="15"/>
  <c r="BG26" i="15"/>
  <c r="BG25" i="15"/>
  <c r="BG24" i="15"/>
  <c r="BG23" i="15"/>
  <c r="BG22" i="15"/>
  <c r="BG21" i="15"/>
  <c r="BG20" i="15"/>
  <c r="BG19" i="15"/>
  <c r="BG18" i="15"/>
  <c r="BG17" i="15"/>
  <c r="BG16" i="15"/>
  <c r="BG15" i="15"/>
  <c r="BG14" i="15"/>
  <c r="BA37" i="15"/>
  <c r="BA36" i="15"/>
  <c r="BA35" i="15"/>
  <c r="BA34" i="15"/>
  <c r="BA33" i="15"/>
  <c r="BA32" i="15"/>
  <c r="BA31" i="15"/>
  <c r="BA30" i="15"/>
  <c r="BA29" i="15"/>
  <c r="BA28" i="15"/>
  <c r="BA27" i="15"/>
  <c r="BA26" i="15"/>
  <c r="BA25" i="15"/>
  <c r="BA24" i="15"/>
  <c r="BA23" i="15"/>
  <c r="BA22" i="15"/>
  <c r="BA21" i="15"/>
  <c r="BA20" i="15"/>
  <c r="BA19" i="15"/>
  <c r="BA18" i="15"/>
  <c r="BA17" i="15"/>
  <c r="BA16" i="15"/>
  <c r="BA15" i="15"/>
  <c r="BA14" i="15"/>
  <c r="AU37" i="15"/>
  <c r="AU36" i="15"/>
  <c r="AU35" i="15"/>
  <c r="AU34" i="15"/>
  <c r="AU33" i="15"/>
  <c r="AU32" i="15"/>
  <c r="AU31" i="15"/>
  <c r="AU30" i="15"/>
  <c r="AU29" i="15"/>
  <c r="AU28" i="15"/>
  <c r="AU27" i="15"/>
  <c r="AU26" i="15"/>
  <c r="AU25" i="15"/>
  <c r="AU24" i="15"/>
  <c r="AU23" i="15"/>
  <c r="AU22" i="15"/>
  <c r="AU21" i="15"/>
  <c r="AU20" i="15"/>
  <c r="AU19" i="15"/>
  <c r="AU18" i="15"/>
  <c r="AU17" i="15"/>
  <c r="AU16" i="15"/>
  <c r="AU15" i="15"/>
  <c r="AU14" i="15"/>
  <c r="AO37" i="15"/>
  <c r="AO36" i="15"/>
  <c r="AO35" i="15"/>
  <c r="AO34" i="15"/>
  <c r="AO33" i="15"/>
  <c r="AO32" i="15"/>
  <c r="AO31" i="15"/>
  <c r="AO30" i="15"/>
  <c r="AO29" i="15"/>
  <c r="AO28" i="15"/>
  <c r="AO27" i="15"/>
  <c r="AO26" i="15"/>
  <c r="AO25" i="15"/>
  <c r="AO24" i="15"/>
  <c r="AO23" i="15"/>
  <c r="AO22" i="15"/>
  <c r="AO21" i="15"/>
  <c r="AO20" i="15"/>
  <c r="AO19" i="15"/>
  <c r="AO18" i="15"/>
  <c r="AO17" i="15"/>
  <c r="AO16" i="15"/>
  <c r="AO15" i="15"/>
  <c r="AO14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C37" i="15"/>
  <c r="AC36" i="15"/>
  <c r="AC35" i="15"/>
  <c r="AC34" i="15"/>
  <c r="AC33" i="15"/>
  <c r="AC32" i="15"/>
  <c r="AC31" i="15"/>
  <c r="AC30" i="15"/>
  <c r="AC29" i="15"/>
  <c r="AC28" i="15"/>
  <c r="AC27" i="15"/>
  <c r="AC26" i="15"/>
  <c r="AC25" i="15"/>
  <c r="AC24" i="15"/>
  <c r="AC23" i="15"/>
  <c r="AC22" i="15"/>
  <c r="AC21" i="15"/>
  <c r="AC20" i="15"/>
  <c r="AC19" i="15"/>
  <c r="AC18" i="15"/>
  <c r="AC17" i="15"/>
  <c r="AC16" i="15"/>
  <c r="AC15" i="15"/>
  <c r="AC14" i="15"/>
  <c r="W37" i="15"/>
  <c r="W36" i="15"/>
  <c r="W35" i="15"/>
  <c r="W34" i="15"/>
  <c r="W33" i="15"/>
  <c r="W32" i="15"/>
  <c r="W3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A9" i="15"/>
  <c r="F9" i="15"/>
  <c r="AN22" i="12" l="1"/>
  <c r="AR12" i="12"/>
  <c r="AR5" i="12"/>
  <c r="AR6" i="12"/>
  <c r="AR7" i="12"/>
  <c r="AR8" i="12"/>
  <c r="AR9" i="12"/>
  <c r="AR10" i="12"/>
  <c r="AR11" i="12"/>
  <c r="AR3" i="12"/>
  <c r="AR4" i="12"/>
  <c r="AN11" i="12"/>
  <c r="AN12" i="12"/>
  <c r="AN4" i="12"/>
  <c r="AN13" i="12"/>
  <c r="AN14" i="12"/>
  <c r="AN3" i="12"/>
  <c r="AN15" i="12"/>
  <c r="AN16" i="12"/>
  <c r="AN10" i="12"/>
  <c r="AN5" i="12"/>
  <c r="AN17" i="12"/>
  <c r="AN6" i="12"/>
  <c r="AN18" i="12"/>
  <c r="AN21" i="12"/>
  <c r="AN7" i="12"/>
  <c r="AN19" i="12"/>
  <c r="AN20" i="12"/>
  <c r="AN9" i="12"/>
  <c r="AN8" i="12"/>
  <c r="AJ8" i="12"/>
  <c r="AJ20" i="12"/>
  <c r="AJ32" i="12"/>
  <c r="AJ44" i="12"/>
  <c r="AJ9" i="12"/>
  <c r="AJ21" i="12"/>
  <c r="AJ33" i="12"/>
  <c r="AJ45" i="12"/>
  <c r="AJ30" i="12"/>
  <c r="AJ19" i="12"/>
  <c r="AJ10" i="12"/>
  <c r="AJ22" i="12"/>
  <c r="AJ34" i="12"/>
  <c r="AJ11" i="12"/>
  <c r="AJ23" i="12"/>
  <c r="AJ35" i="12"/>
  <c r="AJ43" i="12"/>
  <c r="AJ12" i="12"/>
  <c r="AJ24" i="12"/>
  <c r="AJ36" i="12"/>
  <c r="AJ31" i="12"/>
  <c r="AJ13" i="12"/>
  <c r="AJ25" i="12"/>
  <c r="AJ37" i="12"/>
  <c r="AJ42" i="12"/>
  <c r="AJ14" i="12"/>
  <c r="AJ26" i="12"/>
  <c r="AJ38" i="12"/>
  <c r="AJ15" i="12"/>
  <c r="AJ27" i="12"/>
  <c r="AJ39" i="12"/>
  <c r="AJ4" i="12"/>
  <c r="AJ16" i="12"/>
  <c r="AJ28" i="12"/>
  <c r="AJ40" i="12"/>
  <c r="AJ6" i="12"/>
  <c r="AJ7" i="12"/>
  <c r="AJ5" i="12"/>
  <c r="AJ17" i="12"/>
  <c r="AJ29" i="12"/>
  <c r="AJ41" i="12"/>
  <c r="AJ18" i="12"/>
  <c r="AJ3" i="12"/>
  <c r="AJ102" i="12"/>
  <c r="I7" i="15"/>
  <c r="G7" i="15"/>
  <c r="E7" i="15"/>
  <c r="E10" i="15" s="1"/>
  <c r="G7" i="14"/>
  <c r="E7" i="14"/>
  <c r="C7" i="14"/>
  <c r="G29" i="13"/>
  <c r="G28" i="13"/>
  <c r="G27" i="13"/>
  <c r="G26" i="13"/>
  <c r="G24" i="13"/>
  <c r="G23" i="13"/>
  <c r="G22" i="13"/>
  <c r="G21" i="13"/>
  <c r="G20" i="13"/>
  <c r="G19" i="13"/>
  <c r="G18" i="13"/>
  <c r="G17" i="13"/>
  <c r="G16" i="13"/>
  <c r="G15" i="13"/>
  <c r="G14" i="13"/>
  <c r="D29" i="13"/>
  <c r="D28" i="13"/>
  <c r="D27" i="13"/>
  <c r="D26" i="13"/>
  <c r="D24" i="13"/>
  <c r="D23" i="13"/>
  <c r="D22" i="13"/>
  <c r="D21" i="13"/>
  <c r="D20" i="13"/>
  <c r="D19" i="13"/>
  <c r="D18" i="13"/>
  <c r="D17" i="13"/>
  <c r="D16" i="13"/>
  <c r="D15" i="13"/>
  <c r="D14" i="13"/>
  <c r="A29" i="13"/>
  <c r="A28" i="13"/>
  <c r="A27" i="13"/>
  <c r="A26" i="13"/>
  <c r="A25" i="13"/>
  <c r="A24" i="13"/>
  <c r="A23" i="13"/>
  <c r="A22" i="13"/>
  <c r="A21" i="13"/>
  <c r="A20" i="13"/>
  <c r="B20" i="13" s="1"/>
  <c r="A19" i="13"/>
  <c r="A18" i="13"/>
  <c r="A17" i="13"/>
  <c r="A16" i="13"/>
  <c r="A15" i="13"/>
  <c r="A14" i="13"/>
  <c r="A9" i="13"/>
  <c r="H7" i="13"/>
  <c r="F7" i="13"/>
  <c r="D7" i="13"/>
  <c r="F10" i="13" s="1"/>
  <c r="H7" i="1"/>
  <c r="F7" i="1"/>
  <c r="D7" i="1"/>
  <c r="F10" i="1" s="1"/>
  <c r="H43" i="1"/>
  <c r="E43" i="1"/>
  <c r="H42" i="1"/>
  <c r="E42" i="1"/>
  <c r="H41" i="1"/>
  <c r="E41" i="1"/>
  <c r="H40" i="1"/>
  <c r="E40" i="1"/>
  <c r="H39" i="1"/>
  <c r="E39" i="1"/>
  <c r="H38" i="1"/>
  <c r="E38" i="1"/>
  <c r="H37" i="1"/>
  <c r="E37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E22" i="1"/>
  <c r="H20" i="1"/>
  <c r="E20" i="1"/>
  <c r="H19" i="1"/>
  <c r="E19" i="1"/>
  <c r="H18" i="1"/>
  <c r="E18" i="1"/>
  <c r="H17" i="1"/>
  <c r="E17" i="1"/>
  <c r="H16" i="1"/>
  <c r="E16" i="1"/>
  <c r="H15" i="1"/>
  <c r="E15" i="1"/>
  <c r="E14" i="1"/>
  <c r="H14" i="1"/>
  <c r="A14" i="1"/>
  <c r="A26" i="1"/>
  <c r="A23" i="1"/>
  <c r="A43" i="1"/>
  <c r="B43" i="1" s="1"/>
  <c r="A42" i="1"/>
  <c r="B42" i="1" s="1"/>
  <c r="A41" i="1"/>
  <c r="A40" i="1"/>
  <c r="A39" i="1"/>
  <c r="A38" i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A30" i="1"/>
  <c r="A29" i="1"/>
  <c r="A28" i="1"/>
  <c r="A27" i="1"/>
  <c r="A25" i="1"/>
  <c r="A24" i="1"/>
  <c r="A22" i="1"/>
  <c r="A21" i="1"/>
  <c r="A20" i="1"/>
  <c r="A19" i="1"/>
  <c r="A18" i="1"/>
  <c r="A17" i="1"/>
  <c r="A16" i="1"/>
  <c r="A15" i="1"/>
  <c r="A9" i="1"/>
  <c r="R14" i="12" l="1"/>
  <c r="R15" i="12"/>
  <c r="N4" i="12"/>
  <c r="N7" i="12"/>
  <c r="N19" i="12"/>
  <c r="N20" i="12"/>
  <c r="N9" i="12"/>
  <c r="N14" i="12"/>
  <c r="J6" i="12"/>
  <c r="J3" i="12"/>
  <c r="J11" i="12"/>
  <c r="J4" i="12"/>
  <c r="J5" i="12"/>
  <c r="J7" i="12"/>
  <c r="J8" i="12"/>
  <c r="J10" i="12"/>
  <c r="J9" i="12"/>
  <c r="F3" i="12"/>
  <c r="F9" i="12"/>
  <c r="F33" i="12"/>
  <c r="F46" i="12"/>
  <c r="F10" i="12"/>
  <c r="F22" i="12"/>
  <c r="F34" i="12"/>
  <c r="F11" i="12"/>
  <c r="F23" i="12"/>
  <c r="F35" i="12"/>
  <c r="F47" i="12"/>
  <c r="F24" i="12"/>
  <c r="F36" i="12"/>
  <c r="F48" i="12"/>
  <c r="F38" i="12"/>
  <c r="F12" i="12"/>
  <c r="F13" i="12"/>
  <c r="F25" i="12"/>
  <c r="F37" i="12"/>
  <c r="F49" i="12"/>
  <c r="F14" i="12"/>
  <c r="F15" i="12"/>
  <c r="F27" i="12"/>
  <c r="F39" i="12"/>
  <c r="F5" i="12"/>
  <c r="F29" i="12"/>
  <c r="F4" i="12"/>
  <c r="F16" i="12"/>
  <c r="F28" i="12"/>
  <c r="F40" i="12"/>
  <c r="F17" i="12"/>
  <c r="F41" i="12"/>
  <c r="F6" i="12"/>
  <c r="F18" i="12"/>
  <c r="F30" i="12"/>
  <c r="F42" i="12"/>
  <c r="F7" i="12"/>
  <c r="F19" i="12"/>
  <c r="F31" i="12"/>
  <c r="F43" i="12"/>
  <c r="F8" i="12"/>
  <c r="F20" i="12"/>
  <c r="F32" i="12"/>
  <c r="F44" i="12"/>
  <c r="F21" i="12"/>
  <c r="F45" i="12"/>
  <c r="F26" i="12"/>
  <c r="B21" i="13"/>
  <c r="A26" i="15"/>
  <c r="C26" i="15" s="1"/>
  <c r="A14" i="15"/>
  <c r="C14" i="15" s="1"/>
  <c r="A36" i="15"/>
  <c r="C36" i="15" s="1"/>
  <c r="A15" i="15"/>
  <c r="C15" i="15" s="1"/>
  <c r="A27" i="15"/>
  <c r="C27" i="15" s="1"/>
  <c r="A16" i="15"/>
  <c r="C16" i="15" s="1"/>
  <c r="A28" i="15"/>
  <c r="C28" i="15" s="1"/>
  <c r="A34" i="15"/>
  <c r="C34" i="15" s="1"/>
  <c r="A17" i="15"/>
  <c r="C17" i="15" s="1"/>
  <c r="A29" i="15"/>
  <c r="C29" i="15" s="1"/>
  <c r="A18" i="15"/>
  <c r="C18" i="15" s="1"/>
  <c r="A30" i="15"/>
  <c r="C30" i="15" s="1"/>
  <c r="A33" i="15"/>
  <c r="C33" i="15" s="1"/>
  <c r="A19" i="15"/>
  <c r="C19" i="15" s="1"/>
  <c r="A31" i="15"/>
  <c r="C31" i="15" s="1"/>
  <c r="A32" i="15"/>
  <c r="C32" i="15" s="1"/>
  <c r="A23" i="15"/>
  <c r="C23" i="15" s="1"/>
  <c r="A25" i="15"/>
  <c r="C25" i="15" s="1"/>
  <c r="A20" i="15"/>
  <c r="C20" i="15" s="1"/>
  <c r="A35" i="15"/>
  <c r="C35" i="15" s="1"/>
  <c r="A37" i="15"/>
  <c r="C37" i="15" s="1"/>
  <c r="A21" i="15"/>
  <c r="C21" i="15" s="1"/>
  <c r="A24" i="15"/>
  <c r="C24" i="15" s="1"/>
  <c r="A22" i="15"/>
  <c r="C22" i="15" s="1"/>
  <c r="B15" i="13"/>
  <c r="B18" i="13"/>
  <c r="B19" i="13"/>
  <c r="B22" i="13"/>
  <c r="B23" i="13"/>
  <c r="B24" i="13"/>
  <c r="B25" i="13"/>
  <c r="B26" i="13"/>
  <c r="B27" i="13"/>
  <c r="B16" i="13"/>
  <c r="B28" i="13"/>
  <c r="B17" i="13"/>
  <c r="B29" i="13"/>
  <c r="B14" i="13"/>
  <c r="R7" i="12" s="1"/>
  <c r="B27" i="1"/>
  <c r="B28" i="1"/>
  <c r="B29" i="1"/>
  <c r="B30" i="1"/>
  <c r="B31" i="1"/>
  <c r="B26" i="1"/>
  <c r="B19" i="1"/>
  <c r="B21" i="1"/>
  <c r="B22" i="1"/>
  <c r="B20" i="1"/>
  <c r="B23" i="1"/>
  <c r="B24" i="1"/>
  <c r="B25" i="1"/>
  <c r="B14" i="1"/>
  <c r="B38" i="1"/>
  <c r="B15" i="1"/>
  <c r="B39" i="1"/>
  <c r="B16" i="1"/>
  <c r="B40" i="1"/>
  <c r="B17" i="1"/>
  <c r="B41" i="1"/>
  <c r="B18" i="1"/>
  <c r="N8" i="12" l="1"/>
  <c r="R4" i="12"/>
  <c r="N18" i="12"/>
  <c r="R13" i="12"/>
  <c r="N15" i="12"/>
  <c r="N6" i="12"/>
  <c r="R6" i="12"/>
  <c r="N13" i="12"/>
  <c r="N17" i="12"/>
  <c r="R3" i="12"/>
  <c r="N12" i="12"/>
  <c r="N5" i="12"/>
  <c r="R12" i="12"/>
  <c r="N11" i="12"/>
  <c r="N16" i="12"/>
  <c r="R11" i="12"/>
  <c r="R10" i="12"/>
  <c r="N10" i="12"/>
  <c r="N3" i="12"/>
  <c r="R9" i="12"/>
  <c r="R5" i="12"/>
  <c r="R8" i="12"/>
  <c r="R16" i="12"/>
  <c r="AD7" i="12"/>
  <c r="AD56" i="12"/>
  <c r="AD21" i="12"/>
  <c r="AD60" i="12"/>
  <c r="AD48" i="12"/>
  <c r="AD40" i="12"/>
  <c r="AD89" i="12"/>
  <c r="AD70" i="12"/>
  <c r="AD64" i="12"/>
  <c r="AD3" i="12"/>
  <c r="AD19" i="12"/>
  <c r="AD68" i="12"/>
  <c r="AD10" i="12"/>
  <c r="AD84" i="12"/>
  <c r="AD72" i="12"/>
  <c r="AD88" i="12"/>
  <c r="AD15" i="12"/>
  <c r="AD80" i="12"/>
  <c r="AD96" i="12"/>
  <c r="AD17" i="12"/>
  <c r="AD35" i="12"/>
  <c r="AD4" i="12"/>
  <c r="AD6" i="12"/>
  <c r="AD31" i="12"/>
  <c r="AD22" i="12"/>
  <c r="AD77" i="12"/>
  <c r="AD27" i="12"/>
  <c r="AD50" i="12"/>
  <c r="AD18" i="12"/>
  <c r="AD43" i="12"/>
  <c r="AD92" i="12"/>
  <c r="AD34" i="12"/>
  <c r="AD53" i="12"/>
  <c r="AD13" i="12"/>
  <c r="AD14" i="12"/>
  <c r="AD39" i="12"/>
  <c r="AD49" i="12"/>
  <c r="AD30" i="12"/>
  <c r="AD67" i="12"/>
  <c r="AD33" i="12"/>
  <c r="AD46" i="12"/>
  <c r="AD11" i="12"/>
  <c r="AD25" i="12"/>
  <c r="AD26" i="12"/>
  <c r="AD51" i="12"/>
  <c r="AD57" i="12"/>
  <c r="AD75" i="12"/>
  <c r="AD42" i="12"/>
  <c r="AD79" i="12"/>
  <c r="AD45" i="12"/>
  <c r="AD58" i="12"/>
  <c r="AD23" i="12"/>
  <c r="AD37" i="12"/>
  <c r="AD38" i="12"/>
  <c r="AD63" i="12"/>
  <c r="AD91" i="12"/>
  <c r="AD54" i="12"/>
  <c r="AD66" i="12"/>
  <c r="AD65" i="12"/>
  <c r="AD69" i="12"/>
  <c r="AD82" i="12"/>
  <c r="AD47" i="12"/>
  <c r="AD61" i="12"/>
  <c r="AD62" i="12"/>
  <c r="AD87" i="12"/>
  <c r="AD74" i="12"/>
  <c r="AD78" i="12"/>
  <c r="AD8" i="12"/>
  <c r="AD81" i="12"/>
  <c r="AD94" i="12"/>
  <c r="AD59" i="12"/>
  <c r="AD73" i="12"/>
  <c r="AD28" i="12"/>
  <c r="AD36" i="12"/>
  <c r="AD90" i="12"/>
  <c r="AD20" i="12"/>
  <c r="AD93" i="12"/>
  <c r="AD95" i="12"/>
  <c r="AD71" i="12"/>
  <c r="AD85" i="12"/>
  <c r="AD86" i="12"/>
  <c r="AD52" i="12"/>
  <c r="AD9" i="12"/>
  <c r="AD55" i="12"/>
  <c r="AD32" i="12"/>
  <c r="AD41" i="12"/>
  <c r="AD12" i="12"/>
  <c r="AD83" i="12"/>
  <c r="AD97" i="12"/>
  <c r="AD16" i="12"/>
  <c r="AD76" i="12"/>
  <c r="AD44" i="12"/>
  <c r="AD24" i="12"/>
  <c r="AD29" i="12"/>
  <c r="AD5" i="12"/>
</calcChain>
</file>

<file path=xl/sharedStrings.xml><?xml version="1.0" encoding="utf-8"?>
<sst xmlns="http://schemas.openxmlformats.org/spreadsheetml/2006/main" count="2145" uniqueCount="676">
  <si>
    <t>E152</t>
  </si>
  <si>
    <t>E158</t>
  </si>
  <si>
    <t>E164</t>
  </si>
  <si>
    <t>E170</t>
  </si>
  <si>
    <t>E176</t>
  </si>
  <si>
    <t>E182</t>
  </si>
  <si>
    <t>E252</t>
  </si>
  <si>
    <t>E258</t>
  </si>
  <si>
    <t>E264</t>
  </si>
  <si>
    <t>E270</t>
  </si>
  <si>
    <t>E276</t>
  </si>
  <si>
    <t>E282</t>
  </si>
  <si>
    <t>E202</t>
  </si>
  <si>
    <t>E208</t>
  </si>
  <si>
    <t>E214</t>
  </si>
  <si>
    <t>E220</t>
  </si>
  <si>
    <t>E226</t>
  </si>
  <si>
    <t>E232</t>
  </si>
  <si>
    <t>HAC1</t>
  </si>
  <si>
    <t>HAC2</t>
  </si>
  <si>
    <t>HAC3</t>
  </si>
  <si>
    <t>HAC4</t>
  </si>
  <si>
    <t>HAC5</t>
  </si>
  <si>
    <t>HAC6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</si>
  <si>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</si>
  <si>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</si>
  <si>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</si>
  <si>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</si>
  <si>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</si>
  <si>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</si>
  <si>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</si>
  <si>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</si>
  <si>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</si>
  <si>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Circuit Breaker</t>
  </si>
  <si>
    <t>Cable Length</t>
  </si>
  <si>
    <t>Part Number</t>
  </si>
  <si>
    <t>1st Device</t>
  </si>
  <si>
    <t>2nd Device</t>
  </si>
  <si>
    <t>3rd Device</t>
  </si>
  <si>
    <t>4th Device</t>
  </si>
  <si>
    <t>5th Device</t>
  </si>
  <si>
    <t>6th Device</t>
  </si>
  <si>
    <t>7th Device</t>
  </si>
  <si>
    <t>8th Device</t>
  </si>
  <si>
    <t>Date Issued:</t>
  </si>
  <si>
    <t>Reported By:</t>
  </si>
  <si>
    <t xml:space="preserve">Customer Engineer: </t>
  </si>
  <si>
    <t>Program:</t>
  </si>
  <si>
    <t>Drawing Number:</t>
  </si>
  <si>
    <t>Reference Used:</t>
  </si>
  <si>
    <t>Customer Eng. Mgr.:</t>
  </si>
  <si>
    <t>System Name:</t>
  </si>
  <si>
    <t>PDP Size:</t>
  </si>
  <si>
    <t>PDP Part Number:</t>
  </si>
  <si>
    <t>PDP Name:</t>
  </si>
  <si>
    <t>Used:</t>
  </si>
  <si>
    <t>Circuit Breaker Size</t>
  </si>
  <si>
    <t>ECS-4335-TT</t>
  </si>
  <si>
    <t>ECS-4336-TT</t>
  </si>
  <si>
    <t>ECS-5100-TT</t>
  </si>
  <si>
    <t>ECS-5101-BB-AA-TT</t>
  </si>
  <si>
    <t>ECS-5103-CC-BB-AA-TT</t>
  </si>
  <si>
    <t>ECS-5105-DD-CC-BB-AA-TT</t>
  </si>
  <si>
    <t>ECS-5106-BB-AA-TT</t>
  </si>
  <si>
    <t>ECS-5107-DD-CC-BB-AA-TT</t>
  </si>
  <si>
    <t>ECS-5108-DD-CC-BB-AA-TT</t>
  </si>
  <si>
    <t>ECS-5109-BB-AA-TT</t>
  </si>
  <si>
    <t>ECS-5110-UU-VV</t>
  </si>
  <si>
    <t>ECS-5115-UU-VV</t>
  </si>
  <si>
    <t>ECS-5119-CC-BB-AA</t>
  </si>
  <si>
    <t>ECS-5120-BB-AA-MM-TT</t>
  </si>
  <si>
    <t>ECS-5121-BB-AA-TT</t>
  </si>
  <si>
    <t>ECS-5123-CC-BB-AA-TT</t>
  </si>
  <si>
    <t>ECS-5137-TT</t>
  </si>
  <si>
    <t>ECS-5138-TT</t>
  </si>
  <si>
    <t>3KVA REMOTE POWER PANEL</t>
  </si>
  <si>
    <t>5KVA REMOTE POWER PANEL</t>
  </si>
  <si>
    <t>30 AMP POWER DISTRIBUTION PANEL</t>
  </si>
  <si>
    <t>60 AMP POWER DISTRIBUTION PANEL</t>
  </si>
  <si>
    <t>100 AMP POWER DISTRIBUTION PANEL</t>
  </si>
  <si>
    <t>200 AMP POWER DISTRIBUTION PANEL</t>
  </si>
  <si>
    <t>400 AMP POWER DISTRIBUTION PANEL</t>
  </si>
  <si>
    <t>400 AMP WELD POWER DISTRIBUTION PANEL</t>
  </si>
  <si>
    <t>100 AMP CONTROL POWER DISTRIBUTION SUB PANEL</t>
  </si>
  <si>
    <t>60 AMP COMBO MCP AND POWER DISTRIBUTION PANEL</t>
  </si>
  <si>
    <t>100 AMP COMBO MCP AND POWER DISTRIBUTION PANEL</t>
  </si>
  <si>
    <t>POWER DISTRIBUTION PANEL 3KVA 120V CONTROL POWER / 24V PLC POWER</t>
  </si>
  <si>
    <t>POWER DISTRIBUTION PANEL 5KVA 120V CONTROL POWER / 24V PLC POWER</t>
  </si>
  <si>
    <t>Remote Power Panel</t>
  </si>
  <si>
    <t>30 amp</t>
  </si>
  <si>
    <t>60 amp</t>
  </si>
  <si>
    <t xml:space="preserve">100 amp </t>
  </si>
  <si>
    <t>200 amp</t>
  </si>
  <si>
    <t>400 amp</t>
  </si>
  <si>
    <t xml:space="preserve">100 amp controlpower </t>
  </si>
  <si>
    <t xml:space="preserve">400 amp weld </t>
  </si>
  <si>
    <t>60 amp MCP / PDP</t>
  </si>
  <si>
    <t>100 amp MCP / PDP</t>
  </si>
  <si>
    <t>3kva120vcontrolpower</t>
  </si>
  <si>
    <t>5kva120vcontrolpower</t>
  </si>
  <si>
    <t>RPP</t>
  </si>
  <si>
    <t>_30AMP</t>
  </si>
  <si>
    <t>_60AMP</t>
  </si>
  <si>
    <t>_100AMP</t>
  </si>
  <si>
    <t>_200AMP</t>
  </si>
  <si>
    <t>_400AMP</t>
  </si>
  <si>
    <t>_400AMPW</t>
  </si>
  <si>
    <t>_100AMPCP</t>
  </si>
  <si>
    <t>_60AMPCombo</t>
  </si>
  <si>
    <t>_100AMPCombo</t>
  </si>
  <si>
    <t>_3KVA120</t>
  </si>
  <si>
    <t>_5KVA120</t>
  </si>
  <si>
    <t>PDP Num:</t>
  </si>
  <si>
    <t>15 amp</t>
  </si>
  <si>
    <t>E352</t>
  </si>
  <si>
    <t>E358</t>
  </si>
  <si>
    <t>E364</t>
  </si>
  <si>
    <t>E370</t>
  </si>
  <si>
    <t>E302</t>
  </si>
  <si>
    <t>E308</t>
  </si>
  <si>
    <t>E314</t>
  </si>
  <si>
    <t>E320</t>
  </si>
  <si>
    <t>E326</t>
  </si>
  <si>
    <t>E332</t>
  </si>
  <si>
    <t>Panel Selection:</t>
  </si>
  <si>
    <t>User Description:</t>
  </si>
  <si>
    <t>List:</t>
  </si>
  <si>
    <t>PDP Description:</t>
  </si>
  <si>
    <t>x</t>
  </si>
  <si>
    <t>E376</t>
  </si>
  <si>
    <t>E382</t>
  </si>
  <si>
    <t>480 Cable Length</t>
  </si>
  <si>
    <t>480 Cable Part Number</t>
  </si>
  <si>
    <t>_480CblLgth</t>
  </si>
  <si>
    <t>100 amp</t>
  </si>
  <si>
    <t>480 Device</t>
  </si>
  <si>
    <t>480 Device Part Number</t>
  </si>
  <si>
    <t>_480Dev</t>
  </si>
  <si>
    <t>Device Name</t>
  </si>
  <si>
    <t>1st Device Name</t>
  </si>
  <si>
    <t>2nd Device Name</t>
  </si>
  <si>
    <t>3rd Device Name</t>
  </si>
  <si>
    <t>4th Device Name</t>
  </si>
  <si>
    <t>5th Device Name</t>
  </si>
  <si>
    <t>6th Device Name</t>
  </si>
  <si>
    <t>7th Device Name</t>
  </si>
  <si>
    <t>8th Device Name</t>
  </si>
  <si>
    <t>480VAC Circuits</t>
  </si>
  <si>
    <t>120VAC Circuits</t>
  </si>
  <si>
    <t>HAC7</t>
  </si>
  <si>
    <t>120 Cable Length</t>
  </si>
  <si>
    <t>120 Cable Part Number</t>
  </si>
  <si>
    <t>120 Device</t>
  </si>
  <si>
    <t>120 Device Part Number</t>
  </si>
  <si>
    <t>_120CblLgth</t>
  </si>
  <si>
    <t>_120Dev</t>
  </si>
  <si>
    <t>Power Supply</t>
  </si>
  <si>
    <t>PWS12</t>
  </si>
  <si>
    <t>PWS13</t>
  </si>
  <si>
    <t>PWS14</t>
  </si>
  <si>
    <t>PWS15</t>
  </si>
  <si>
    <t>PWS16</t>
  </si>
  <si>
    <t>Single / Double</t>
  </si>
  <si>
    <t>Circuit</t>
  </si>
  <si>
    <t>Double</t>
  </si>
  <si>
    <t>Single</t>
  </si>
  <si>
    <t>DC1</t>
  </si>
  <si>
    <t>DC11</t>
  </si>
  <si>
    <t>DC2</t>
  </si>
  <si>
    <t>DC12</t>
  </si>
  <si>
    <t>24 Cable Length</t>
  </si>
  <si>
    <t>24 Cable Part Number</t>
  </si>
  <si>
    <t>24 Device</t>
  </si>
  <si>
    <t>24 Device Part Number</t>
  </si>
  <si>
    <t>_24CblLgth</t>
  </si>
  <si>
    <t>_24Dev</t>
  </si>
  <si>
    <t xml:space="preserve"> </t>
  </si>
  <si>
    <t>PWS17</t>
  </si>
  <si>
    <t>PWS18</t>
  </si>
  <si>
    <t>PWS19</t>
  </si>
  <si>
    <t>PWS20</t>
  </si>
  <si>
    <t>PWS21</t>
  </si>
  <si>
    <t>PWS22</t>
  </si>
  <si>
    <t>Switch Part Number:</t>
  </si>
  <si>
    <t>Switch Num:</t>
  </si>
  <si>
    <t>Switch Name:</t>
  </si>
  <si>
    <t>Switch Size:</t>
  </si>
  <si>
    <t>WD/EC NUMBERS</t>
  </si>
  <si>
    <t>ECS-4166</t>
  </si>
  <si>
    <t>ECS-4441</t>
  </si>
  <si>
    <t>ECS-5011</t>
  </si>
  <si>
    <t>ECS-5022-10-02</t>
  </si>
  <si>
    <t>ECS-5091</t>
  </si>
  <si>
    <t>ECS-5205</t>
  </si>
  <si>
    <t>EC-G16-EMS-PCO-7BUSRAIL</t>
  </si>
  <si>
    <t>WD-OR-EMS-VDL_PRELIM</t>
  </si>
  <si>
    <t>Ethernet Switch</t>
  </si>
  <si>
    <t>8 Port (Cisco)</t>
  </si>
  <si>
    <t>16 Port (Cisco)</t>
  </si>
  <si>
    <t>24 Port (Cisco)</t>
  </si>
  <si>
    <t>ENetSwitch</t>
  </si>
  <si>
    <t>GM-IE3400H-8T</t>
  </si>
  <si>
    <t>GM-IE3400H-16T</t>
  </si>
  <si>
    <t>GM-IE3400H-24T</t>
  </si>
  <si>
    <t>Switch IP Address:</t>
  </si>
  <si>
    <t>IP Address (Public)</t>
  </si>
  <si>
    <t>IP Address (Private)</t>
  </si>
  <si>
    <t>ENet Cable Length</t>
  </si>
  <si>
    <t>ENet Cable Part Number</t>
  </si>
  <si>
    <t>ENet Device</t>
  </si>
  <si>
    <t>_ENetCblLgth</t>
  </si>
  <si>
    <t>_ENetDev</t>
  </si>
  <si>
    <t>9th Device</t>
  </si>
  <si>
    <t>9th Device Name</t>
  </si>
  <si>
    <t>10th Device</t>
  </si>
  <si>
    <t>10th Device Name</t>
  </si>
  <si>
    <t>11th Device</t>
  </si>
  <si>
    <t>11th Device Name</t>
  </si>
  <si>
    <t>12th Device</t>
  </si>
  <si>
    <t>12th Device Name</t>
  </si>
  <si>
    <t>13th Device</t>
  </si>
  <si>
    <t>13th Device Name</t>
  </si>
  <si>
    <t>14th Device</t>
  </si>
  <si>
    <t>14th Device Name</t>
  </si>
  <si>
    <t>15th Device</t>
  </si>
  <si>
    <t>15th Device Name</t>
  </si>
  <si>
    <t>16th Device</t>
  </si>
  <si>
    <t>16th Device Name</t>
  </si>
  <si>
    <t>17th Device</t>
  </si>
  <si>
    <t>17th Device Name</t>
  </si>
  <si>
    <t>18th Device</t>
  </si>
  <si>
    <t>18th Device Name</t>
  </si>
  <si>
    <t>19th Device</t>
  </si>
  <si>
    <t>19th Device Name</t>
  </si>
  <si>
    <t>20th Device Name</t>
  </si>
  <si>
    <t>20th Device</t>
  </si>
  <si>
    <t>21st Device</t>
  </si>
  <si>
    <t>21st Device Name</t>
  </si>
  <si>
    <t>22nd Device</t>
  </si>
  <si>
    <t>22nd Device Name</t>
  </si>
  <si>
    <t>23rd Device</t>
  </si>
  <si>
    <t>23rd Device Name</t>
  </si>
  <si>
    <t>24th Device</t>
  </si>
  <si>
    <t>24th Device Name</t>
  </si>
  <si>
    <t>25th Device</t>
  </si>
  <si>
    <t>25th Device Name</t>
  </si>
  <si>
    <t>Utilities:</t>
  </si>
  <si>
    <t>Quantities</t>
  </si>
  <si>
    <t>Design Leader:</t>
  </si>
  <si>
    <t>Ralph Ely</t>
  </si>
  <si>
    <t>480v Power Design</t>
  </si>
  <si>
    <t>120v Power Design</t>
  </si>
  <si>
    <t>24v Power Design</t>
  </si>
  <si>
    <t>Ethernet Design</t>
  </si>
  <si>
    <t>E-Plan Design Utility</t>
  </si>
  <si>
    <t>EC / ECS Panels</t>
  </si>
  <si>
    <t>Description</t>
  </si>
  <si>
    <t>Programming Terminal</t>
  </si>
  <si>
    <t>Remote E-Stop</t>
  </si>
  <si>
    <t>MPS Entrance Gate Box</t>
  </si>
  <si>
    <t>Remote HMI</t>
  </si>
  <si>
    <t>Safety Device J-Box</t>
  </si>
  <si>
    <t>PLC in a Box</t>
  </si>
  <si>
    <t>EMS Rail Power Change Over J-Box</t>
  </si>
  <si>
    <t>EMS VDL w/ARI Brake and Auto Drum Lock</t>
  </si>
  <si>
    <t>WD/EC Panel</t>
  </si>
  <si>
    <t>WD/EC Panel Names</t>
  </si>
  <si>
    <t>Device</t>
  </si>
  <si>
    <t>Block Number
Type of I/O Device
IP Address</t>
  </si>
  <si>
    <t>Splitter</t>
  </si>
  <si>
    <t>I/O Port Number</t>
  </si>
  <si>
    <t>Input / Output</t>
  </si>
  <si>
    <t>Block Information</t>
  </si>
  <si>
    <t>_IOCblLgth</t>
  </si>
  <si>
    <t>_IODev</t>
  </si>
  <si>
    <t>IO Cable Length</t>
  </si>
  <si>
    <t>IO Cable Part Number</t>
  </si>
  <si>
    <t>IO Device</t>
  </si>
  <si>
    <t>IO Device Part Number</t>
  </si>
  <si>
    <t>Safe IO Device</t>
  </si>
  <si>
    <t>Safe IO Device Part Number</t>
  </si>
  <si>
    <t>_SafeIODev</t>
  </si>
  <si>
    <t>Safe I/O Power Design</t>
  </si>
  <si>
    <t>Standard I/O Power Design</t>
  </si>
  <si>
    <t>IOType</t>
  </si>
  <si>
    <t>Input</t>
  </si>
  <si>
    <t>Output</t>
  </si>
  <si>
    <t>Analog</t>
  </si>
  <si>
    <t>Answer</t>
  </si>
  <si>
    <t>Yes</t>
  </si>
  <si>
    <t>No</t>
  </si>
  <si>
    <t>*Insert Part Number Here*</t>
  </si>
  <si>
    <t>ES1</t>
  </si>
  <si>
    <t>P1</t>
  </si>
  <si>
    <t>PWS3*</t>
  </si>
  <si>
    <t>PWS4*</t>
  </si>
  <si>
    <t>PWS5*</t>
  </si>
  <si>
    <t>PWS6*</t>
  </si>
  <si>
    <t>PWS7*</t>
  </si>
  <si>
    <t>PWS8*</t>
  </si>
  <si>
    <t>PWS9*</t>
  </si>
  <si>
    <t>PWS10*</t>
  </si>
  <si>
    <t>PWS23</t>
  </si>
  <si>
    <t>PWS24</t>
  </si>
  <si>
    <t>PWS25</t>
  </si>
  <si>
    <t>PWS26</t>
  </si>
  <si>
    <t>PWS27</t>
  </si>
  <si>
    <t>PWS28</t>
  </si>
  <si>
    <t>PWS29</t>
  </si>
  <si>
    <t>ECS-5104-CC-BB-AA-TT</t>
  </si>
  <si>
    <t>Ethernet Switch Port</t>
  </si>
  <si>
    <t>Developer Utilties:</t>
  </si>
  <si>
    <t>PWS#</t>
  </si>
  <si>
    <t>v1.2.1</t>
  </si>
  <si>
    <t>ECS-4037</t>
  </si>
  <si>
    <t>ECS-5449-12</t>
  </si>
  <si>
    <t>Operator PB Control Box</t>
  </si>
  <si>
    <t>EC-G16-RCP-EMS</t>
  </si>
  <si>
    <t>EMS Rail Control Panel (4-Circuit)</t>
  </si>
  <si>
    <t>ECS-5105-00-02-15-00-02</t>
  </si>
  <si>
    <t>200A Power Distribution Panel</t>
  </si>
  <si>
    <t>ECS-5107-00-04-12-00-02</t>
  </si>
  <si>
    <t>400A Power Distribution Panel</t>
  </si>
  <si>
    <t>ECS-5108-00-02-15-00-02</t>
  </si>
  <si>
    <t>20m Rail Cable</t>
  </si>
  <si>
    <t>22m Rail Cable</t>
  </si>
  <si>
    <t>24m Rail Cable</t>
  </si>
  <si>
    <t>26m Rail Cable</t>
  </si>
  <si>
    <t>28m Rail Cable</t>
  </si>
  <si>
    <t>30m Rail Cable</t>
  </si>
  <si>
    <t>32m Rail Cable</t>
  </si>
  <si>
    <t>34m Rail Cable</t>
  </si>
  <si>
    <t>36m Rail Cable</t>
  </si>
  <si>
    <t>38m Rail Cable</t>
  </si>
  <si>
    <t>40m Rail Cable</t>
  </si>
  <si>
    <t>42m Rail Cable</t>
  </si>
  <si>
    <t>44m Rail Cable</t>
  </si>
  <si>
    <t>46m Rail Cable</t>
  </si>
  <si>
    <t>48m Rail Cable</t>
  </si>
  <si>
    <t>50m Rail Cable</t>
  </si>
  <si>
    <t>52m Rail Cable</t>
  </si>
  <si>
    <t>54m Rail Cable</t>
  </si>
  <si>
    <t>56m Rail Cable</t>
  </si>
  <si>
    <t>58m Rail Cable</t>
  </si>
  <si>
    <t>60m Rail Cable</t>
  </si>
  <si>
    <t>62m Rail Cable</t>
  </si>
  <si>
    <t>64m Rail Cable</t>
  </si>
  <si>
    <t>66m Rail Cable</t>
  </si>
  <si>
    <t>68m Rail Cable</t>
  </si>
  <si>
    <t>70m Rail Cable</t>
  </si>
  <si>
    <t>75m Rail Cable</t>
  </si>
  <si>
    <t>80m Rail Cable</t>
  </si>
  <si>
    <t>85m Rail Cable</t>
  </si>
  <si>
    <t>90m Rail Cable</t>
  </si>
  <si>
    <t>95m Rail Cable</t>
  </si>
  <si>
    <t>100m Rail Cable</t>
  </si>
  <si>
    <t>105m Rail Cable</t>
  </si>
  <si>
    <t>110m Rail Cable</t>
  </si>
  <si>
    <t>115m Rail Cable</t>
  </si>
  <si>
    <t>120m Rail Cable</t>
  </si>
  <si>
    <t>125m Rail Cable</t>
  </si>
  <si>
    <t>130m Rail Cable</t>
  </si>
  <si>
    <t>16m Motor Cable</t>
  </si>
  <si>
    <t>220604NAC</t>
  </si>
  <si>
    <t>27m Motor Cable</t>
  </si>
  <si>
    <t>2m M35 (4 Pin)</t>
  </si>
  <si>
    <t>6m M35 (4 Pin)</t>
  </si>
  <si>
    <t>12m M35 (4 Pin)</t>
  </si>
  <si>
    <t>15m M35 (4 Pin)</t>
  </si>
  <si>
    <t>0.5m  M35 (4 Pin) M Recep</t>
  </si>
  <si>
    <t>1m M35 (4 Pin) M Recep</t>
  </si>
  <si>
    <t>0.5m  M35 (4 Pin) F Recep</t>
  </si>
  <si>
    <t>Female Connector 4P</t>
  </si>
  <si>
    <t>Male Connector 4P</t>
  </si>
  <si>
    <t>Cable Tee 4P</t>
  </si>
  <si>
    <t>Rail Junction Box</t>
  </si>
  <si>
    <t>Square D Disconnect Cord Recep</t>
  </si>
  <si>
    <t>Square D Disconnect Cable Recep</t>
  </si>
  <si>
    <t>Square D Disconnect 5A RK1 Fuse</t>
  </si>
  <si>
    <t>Square D Disconnect Switch 30A</t>
  </si>
  <si>
    <t>PCO J-Box</t>
  </si>
  <si>
    <t>AKE 169 462</t>
  </si>
  <si>
    <t>LPS-RK-5SP</t>
  </si>
  <si>
    <t>HU361AWK-EIVW</t>
  </si>
  <si>
    <t>1m (3Pin)</t>
  </si>
  <si>
    <t>2m (3Pin)</t>
  </si>
  <si>
    <t>3m (3Pin)</t>
  </si>
  <si>
    <t>4m (3Pin)</t>
  </si>
  <si>
    <t>6m (3Pin)</t>
  </si>
  <si>
    <t>8m (3Pin)</t>
  </si>
  <si>
    <t>12m (3Pin)</t>
  </si>
  <si>
    <t>15m (3Pin)</t>
  </si>
  <si>
    <t>18m (3Pin)</t>
  </si>
  <si>
    <t>23m (3Pin)</t>
  </si>
  <si>
    <t>30m (3Pin)</t>
  </si>
  <si>
    <t>38m (3Pin)</t>
  </si>
  <si>
    <t>46m (3Pin)</t>
  </si>
  <si>
    <t>54m (3Pin)</t>
  </si>
  <si>
    <t>61m (3Pin)</t>
  </si>
  <si>
    <t>27m (3Pin)</t>
  </si>
  <si>
    <t>34m (3Pin)</t>
  </si>
  <si>
    <t>42m (3Pin)</t>
  </si>
  <si>
    <t>SNG Power Supply</t>
  </si>
  <si>
    <t>DUAL Power Supply</t>
  </si>
  <si>
    <t>3P Tee Male In/FEM/FEM</t>
  </si>
  <si>
    <t>Dust Cap</t>
  </si>
  <si>
    <t>Outlet Receptacle</t>
  </si>
  <si>
    <t>Outlet</t>
  </si>
  <si>
    <t>GF15LA</t>
  </si>
  <si>
    <t>Outlet Box</t>
  </si>
  <si>
    <t>FD-1MWW</t>
  </si>
  <si>
    <t>Outlet Cover</t>
  </si>
  <si>
    <t>FCL-GF</t>
  </si>
  <si>
    <t>4 Port Pass Thru Tee 3P</t>
  </si>
  <si>
    <t>M12 Closure Cap</t>
  </si>
  <si>
    <t>Prog Terminal</t>
  </si>
  <si>
    <t>Control Rail Panel</t>
  </si>
  <si>
    <t>40HP VFD Drive Panel</t>
  </si>
  <si>
    <t>ECS-5176-EE-FF-PP</t>
  </si>
  <si>
    <t>PLC In A Box</t>
  </si>
  <si>
    <t>1m (4 Pin)</t>
  </si>
  <si>
    <t>2m (4 Pin)</t>
  </si>
  <si>
    <t>3m (4 Pin)</t>
  </si>
  <si>
    <t>4m (4 Pin)</t>
  </si>
  <si>
    <t>5m (4 Pin)</t>
  </si>
  <si>
    <t>6m (4 Pin)</t>
  </si>
  <si>
    <t>8m (4 Pin)</t>
  </si>
  <si>
    <t>12m (4 Pin)</t>
  </si>
  <si>
    <t>15m (4 Pin)</t>
  </si>
  <si>
    <t>18m (4 Pin)</t>
  </si>
  <si>
    <t>23m (4 Pin)</t>
  </si>
  <si>
    <t>30m (4 Pin)</t>
  </si>
  <si>
    <t>38m (4 Pin)</t>
  </si>
  <si>
    <t>46m (4 Pin)</t>
  </si>
  <si>
    <t>54m (4 Pin)</t>
  </si>
  <si>
    <t>61m (4 Pin)</t>
  </si>
  <si>
    <t>34m (4 Pin)</t>
  </si>
  <si>
    <t>42m (4 Pin)</t>
  </si>
  <si>
    <t>50m (4 Pin)</t>
  </si>
  <si>
    <t>1m Mini-Micro</t>
  </si>
  <si>
    <t>4 Port Pass Thru Tee 4P</t>
  </si>
  <si>
    <t>4P Tee</t>
  </si>
  <si>
    <t>12" Remote HMI</t>
  </si>
  <si>
    <t>8P CISCO ESW</t>
  </si>
  <si>
    <t>16P CISCO ESW</t>
  </si>
  <si>
    <t>24P CISCO ESW</t>
  </si>
  <si>
    <t>Andon Gateway</t>
  </si>
  <si>
    <t>DXM1200E-B1R3</t>
  </si>
  <si>
    <t>RFID Interface Module</t>
  </si>
  <si>
    <t>RFID Read Write Device</t>
  </si>
  <si>
    <t>RFID Connecting Cable 20m</t>
  </si>
  <si>
    <t>RFID Connecting Cable 50m</t>
  </si>
  <si>
    <t>RFID Connection Block</t>
  </si>
  <si>
    <t>16In Block</t>
  </si>
  <si>
    <t>16Out Block</t>
  </si>
  <si>
    <t>16 Config I/O Block</t>
  </si>
  <si>
    <t>8In/8Out Block</t>
  </si>
  <si>
    <t>Vibration Gateway</t>
  </si>
  <si>
    <t>HHB-133770</t>
  </si>
  <si>
    <t>12In/2Out Safety Block</t>
  </si>
  <si>
    <t>8In/4Out Safety Block</t>
  </si>
  <si>
    <t>16In/16TestOut Safety Block</t>
  </si>
  <si>
    <t>12In/4Out Safety Block</t>
  </si>
  <si>
    <t>8In/8Out Safety Block</t>
  </si>
  <si>
    <t>J-Box w/ Muting</t>
  </si>
  <si>
    <t>Gate Control Panel</t>
  </si>
  <si>
    <t>PB Control Station</t>
  </si>
  <si>
    <t>Standard IDC</t>
  </si>
  <si>
    <t>Safety IDC</t>
  </si>
  <si>
    <t>0.5m</t>
  </si>
  <si>
    <t>Xm</t>
  </si>
  <si>
    <t>1m DCF 4P to XCM 8P</t>
  </si>
  <si>
    <t>1m</t>
  </si>
  <si>
    <t>2m</t>
  </si>
  <si>
    <t>3m</t>
  </si>
  <si>
    <t>4m</t>
  </si>
  <si>
    <t>5m</t>
  </si>
  <si>
    <t>6m</t>
  </si>
  <si>
    <t>7m</t>
  </si>
  <si>
    <t>8m</t>
  </si>
  <si>
    <t>10m</t>
  </si>
  <si>
    <t>12m</t>
  </si>
  <si>
    <t>14m</t>
  </si>
  <si>
    <t>15m</t>
  </si>
  <si>
    <t>18m</t>
  </si>
  <si>
    <t>23m</t>
  </si>
  <si>
    <t>27m</t>
  </si>
  <si>
    <t>30m</t>
  </si>
  <si>
    <t>34m</t>
  </si>
  <si>
    <t>38m</t>
  </si>
  <si>
    <t>42m</t>
  </si>
  <si>
    <t>46m</t>
  </si>
  <si>
    <t>50m</t>
  </si>
  <si>
    <t>54m</t>
  </si>
  <si>
    <t>57m</t>
  </si>
  <si>
    <t>61m</t>
  </si>
  <si>
    <t>65m</t>
  </si>
  <si>
    <t>70m</t>
  </si>
  <si>
    <t>76m</t>
  </si>
  <si>
    <t>80m</t>
  </si>
  <si>
    <t>85m</t>
  </si>
  <si>
    <t>0.5m Right Angle</t>
  </si>
  <si>
    <t>1m Right Angle</t>
  </si>
  <si>
    <t>2m Right Angle</t>
  </si>
  <si>
    <t>3m Right Angle</t>
  </si>
  <si>
    <t>4m Right Angle</t>
  </si>
  <si>
    <t xml:space="preserve">5m Right Angle </t>
  </si>
  <si>
    <t>6m Right Angle</t>
  </si>
  <si>
    <t xml:space="preserve">7m Right Angle </t>
  </si>
  <si>
    <t>8m Right Angle</t>
  </si>
  <si>
    <t>10m Right Angle</t>
  </si>
  <si>
    <t>12m Right Angle</t>
  </si>
  <si>
    <t>14m Right Angle</t>
  </si>
  <si>
    <t>15m Right Angle</t>
  </si>
  <si>
    <t>18m Right Angle</t>
  </si>
  <si>
    <t>23m Right Angle</t>
  </si>
  <si>
    <t>27m Right Angle</t>
  </si>
  <si>
    <t>30m Right Angle</t>
  </si>
  <si>
    <t>34m Right Angle</t>
  </si>
  <si>
    <t>38m Right Angle</t>
  </si>
  <si>
    <t>42m Right Angle</t>
  </si>
  <si>
    <t>46m Right Angle</t>
  </si>
  <si>
    <t xml:space="preserve">50m Right Angle </t>
  </si>
  <si>
    <t>54m Right Angle</t>
  </si>
  <si>
    <t xml:space="preserve">57m Right Angle </t>
  </si>
  <si>
    <t>61m Right Angle</t>
  </si>
  <si>
    <t>65m Right Angle</t>
  </si>
  <si>
    <t>70m Right Angle</t>
  </si>
  <si>
    <t>76m Right Angle</t>
  </si>
  <si>
    <t>80m Right Angle</t>
  </si>
  <si>
    <t>85m Right Angle</t>
  </si>
  <si>
    <t>Prog Cable RJ45 to 4P</t>
  </si>
  <si>
    <t>Prog Cable RJ45 to 8P</t>
  </si>
  <si>
    <t>0.3M 4P TO 8P</t>
  </si>
  <si>
    <t>1M 4P TO 8P</t>
  </si>
  <si>
    <t>2M 4P TO 8P</t>
  </si>
  <si>
    <t>3M 4P TO 8P</t>
  </si>
  <si>
    <t>4M 4P TO 8P</t>
  </si>
  <si>
    <t>5M 4P TO 8P</t>
  </si>
  <si>
    <t>6M 4P TO 8P</t>
  </si>
  <si>
    <t>7M 4P TO 8P</t>
  </si>
  <si>
    <t>8M 4P TO 8P</t>
  </si>
  <si>
    <t>10M 4P TO 8P</t>
  </si>
  <si>
    <t>12M 4P TO 8P</t>
  </si>
  <si>
    <t>14M 4P TO 8P</t>
  </si>
  <si>
    <t>15M 4P TO 8P</t>
  </si>
  <si>
    <t>18M 4P TO 8P</t>
  </si>
  <si>
    <t>23M 4P TO 8P</t>
  </si>
  <si>
    <t>27M 4P TO 8P</t>
  </si>
  <si>
    <t>30M 4P TO 8P</t>
  </si>
  <si>
    <t>34M 4P TO 8P</t>
  </si>
  <si>
    <t>38M 4P TO 8P</t>
  </si>
  <si>
    <t>42M 4P TO 8P</t>
  </si>
  <si>
    <t>46M 4P TO 8P</t>
  </si>
  <si>
    <t>50M 4P TO 8P</t>
  </si>
  <si>
    <t>54M 4P TO 8P</t>
  </si>
  <si>
    <t>57M 4P TO 8P</t>
  </si>
  <si>
    <t>61M 4P TO 8P</t>
  </si>
  <si>
    <t>65M 4P TO 8P</t>
  </si>
  <si>
    <t>70M 4P TO 8P</t>
  </si>
  <si>
    <t>76M 4P TO 8P</t>
  </si>
  <si>
    <t>80M 4P TO 8P</t>
  </si>
  <si>
    <t>85M 4P TO 8P</t>
  </si>
  <si>
    <t>90M 4P TO 8P</t>
  </si>
  <si>
    <t>24 P CISCO ESW</t>
  </si>
  <si>
    <t xml:space="preserve">12In/2Out Safety Block </t>
  </si>
  <si>
    <t xml:space="preserve">J-Box w/ Muting </t>
  </si>
  <si>
    <t>Black Nylon Closure Cap</t>
  </si>
  <si>
    <t>Interlock</t>
  </si>
  <si>
    <t>Programming Port</t>
  </si>
  <si>
    <t>0.5m Splitter</t>
  </si>
  <si>
    <t>0.5m (4Pin)</t>
  </si>
  <si>
    <t>1.5m (4 Pin)</t>
  </si>
  <si>
    <t>10m (4 Pin)</t>
  </si>
  <si>
    <t>0.5m (4 Pin) F Right</t>
  </si>
  <si>
    <t>1m (4 Pin) F Right</t>
  </si>
  <si>
    <t>1.5m (4 Pin) F Right</t>
  </si>
  <si>
    <t>2m (4 Pin) F Right</t>
  </si>
  <si>
    <t>3m (4 Pin) F Right</t>
  </si>
  <si>
    <t>4m (4 Pin) F Right</t>
  </si>
  <si>
    <t>5m (4 Pin) F Right</t>
  </si>
  <si>
    <t>6m (4 Pin) F Right</t>
  </si>
  <si>
    <t>1m Micro&gt;Mini</t>
  </si>
  <si>
    <t>0.5m (4 Pin) M Right</t>
  </si>
  <si>
    <t>1m (4 Pin) M Right</t>
  </si>
  <si>
    <t>1.5m (4 Pin) M Right</t>
  </si>
  <si>
    <t>2m (4 Pin) M Right</t>
  </si>
  <si>
    <t>3m (4 Pin) M Right</t>
  </si>
  <si>
    <t>4m (4 Pin) M Right</t>
  </si>
  <si>
    <t>5m (4 Pin) M Right</t>
  </si>
  <si>
    <t>6m (4 Pin) M Right</t>
  </si>
  <si>
    <t>0.5m (5Pin)</t>
  </si>
  <si>
    <t>1m (5 Pin)</t>
  </si>
  <si>
    <t>2m (5 Pin)</t>
  </si>
  <si>
    <t>3m (5 Pin)</t>
  </si>
  <si>
    <t>4m (5 Pin)</t>
  </si>
  <si>
    <t>5m (5 Pin)</t>
  </si>
  <si>
    <t>6m (5 Pin)</t>
  </si>
  <si>
    <t>9m (5 Pin)</t>
  </si>
  <si>
    <t>8m (5 Pin)</t>
  </si>
  <si>
    <t>10m (5 Pin)</t>
  </si>
  <si>
    <t>12m (5 Pin)</t>
  </si>
  <si>
    <t>15m (5 Pin)</t>
  </si>
  <si>
    <t>18m (5 Pin)</t>
  </si>
  <si>
    <t>23m (5 Pin)</t>
  </si>
  <si>
    <t>30m (5 Pin)</t>
  </si>
  <si>
    <t>Safety Mat 1mx1.25m</t>
  </si>
  <si>
    <t>Safety Mat Ext Corner Trim</t>
  </si>
  <si>
    <t>Safety Mat Cable Chan</t>
  </si>
  <si>
    <t>VDL IDC</t>
  </si>
  <si>
    <t>WD-OR-EMS-VDL-PRELIM</t>
  </si>
  <si>
    <t>Flat Pack Prox</t>
  </si>
  <si>
    <t>Reset PB</t>
  </si>
  <si>
    <t>TS IDC</t>
  </si>
  <si>
    <t>Barrel Prox</t>
  </si>
  <si>
    <t>Rail Contactor Panel</t>
  </si>
  <si>
    <t>EC-GMNA21-5186</t>
  </si>
  <si>
    <t>Junction Box</t>
  </si>
  <si>
    <t>ECS-4447</t>
  </si>
  <si>
    <t>Red Light</t>
  </si>
  <si>
    <t>TL50RQ</t>
  </si>
  <si>
    <t>Light Bracket</t>
  </si>
  <si>
    <t>SMBAMS30RA</t>
  </si>
  <si>
    <t>Limit Switch</t>
  </si>
  <si>
    <t>9007AEQ4090</t>
  </si>
  <si>
    <t>Mounting Aid</t>
  </si>
  <si>
    <t>OHM-05</t>
  </si>
  <si>
    <t>PE Sensor 17m Range</t>
  </si>
  <si>
    <t>MLV12-54-LAS/92/120</t>
  </si>
  <si>
    <t>PE Distance Laser</t>
  </si>
  <si>
    <t>VDM35-6-L/20/105/122</t>
  </si>
  <si>
    <t>SICK Laser C2</t>
  </si>
  <si>
    <t>Brush Indicator</t>
  </si>
  <si>
    <t>WD-OR-EMS-DIAG</t>
  </si>
  <si>
    <t>Photoeye (SICK)</t>
  </si>
  <si>
    <t>PE (SICK) Bracket</t>
  </si>
  <si>
    <t>Cube Prox</t>
  </si>
  <si>
    <t>Valve</t>
  </si>
  <si>
    <t>ANDON</t>
  </si>
  <si>
    <t>DX80N2Q45BL-YG</t>
  </si>
  <si>
    <t>J. HENRY</t>
  </si>
  <si>
    <t>J. MATTINA</t>
  </si>
  <si>
    <t>Saba Saba</t>
  </si>
  <si>
    <t>GR700P1</t>
  </si>
  <si>
    <t>GR700C1</t>
  </si>
  <si>
    <t>GR700D1</t>
  </si>
  <si>
    <t>GR700PWS1</t>
  </si>
  <si>
    <t>GR700PWS2</t>
  </si>
  <si>
    <t>GR700RCP1</t>
  </si>
  <si>
    <t>COVER</t>
  </si>
  <si>
    <t>GR700PWS11</t>
  </si>
  <si>
    <t>GR700PPC01</t>
  </si>
  <si>
    <t>GR700</t>
  </si>
  <si>
    <t>WD-OR-VAC-GR700</t>
  </si>
  <si>
    <t>ORIO-SILV-EV</t>
  </si>
  <si>
    <t>GR700PCO1</t>
  </si>
  <si>
    <t>GR700SBK01</t>
  </si>
  <si>
    <t>GR700E1</t>
  </si>
  <si>
    <t>GR700SBK01
16 INPUT 
IP Address</t>
  </si>
  <si>
    <t>GR700PGT1</t>
  </si>
  <si>
    <t>GR700VACJ1</t>
  </si>
  <si>
    <t>GR700VACJ3</t>
  </si>
  <si>
    <t>GR700VACJ2</t>
  </si>
  <si>
    <t>GR700VACJ4</t>
  </si>
  <si>
    <t>GR700HAC2T1</t>
  </si>
  <si>
    <t>GR700AC1T1</t>
  </si>
  <si>
    <t>GR700SBK02
16 INPUT 
IP Address</t>
  </si>
  <si>
    <t>GR700BK01
16 CONFIG 
IP Address</t>
  </si>
  <si>
    <t>PCODISC1</t>
  </si>
  <si>
    <t>PCODISC2</t>
  </si>
  <si>
    <t>SICK LCG1</t>
  </si>
  <si>
    <t>LCG1</t>
  </si>
  <si>
    <t>Light Curtain Reset PB</t>
  </si>
  <si>
    <t>GR700PB1</t>
  </si>
  <si>
    <t>GR700PCODISC1</t>
  </si>
  <si>
    <t>GR700E2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</si>
</sst>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.###.###.###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26"/>
      <color theme="2" tint="-0.749992370372631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1A3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BD95"/>
        <bgColor indexed="64"/>
      </patternFill>
    </fill>
    <fill>
      <patternFill patternType="solid">
        <fgColor theme="1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7" xfId="0" applyBorder="1"/>
    <xf numFmtId="0" fontId="2" fillId="2" borderId="22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14" fontId="3" fillId="0" borderId="43" xfId="0" applyNumberFormat="1" applyFont="1" applyBorder="1" applyAlignment="1">
      <alignment horizontal="center" vertical="center"/>
    </xf>
    <xf numFmtId="0" fontId="3" fillId="0" borderId="44" xfId="0" applyFont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vertical="center"/>
      <protection hidden="1"/>
    </xf>
    <xf numFmtId="0" fontId="0" fillId="5" borderId="45" xfId="0" applyFill="1" applyBorder="1" applyAlignment="1" applyProtection="1">
      <alignment horizontal="right"/>
      <protection hidden="1"/>
    </xf>
    <xf numFmtId="0" fontId="0" fillId="5" borderId="49" xfId="0" applyFill="1" applyBorder="1"/>
    <xf numFmtId="0" fontId="2" fillId="2" borderId="38" xfId="0" applyFont="1" applyFill="1" applyBorder="1" applyAlignment="1" applyProtection="1">
      <alignment vertical="center"/>
      <protection hidden="1"/>
    </xf>
    <xf numFmtId="0" fontId="2" fillId="6" borderId="2" xfId="0" applyFont="1" applyFill="1" applyBorder="1" applyAlignment="1" applyProtection="1">
      <alignment horizontal="center" vertical="center" wrapText="1"/>
      <protection hidden="1"/>
    </xf>
    <xf numFmtId="0" fontId="0" fillId="0" borderId="52" xfId="0" applyBorder="1"/>
    <xf numFmtId="0" fontId="0" fillId="8" borderId="0" xfId="0" applyFill="1"/>
    <xf numFmtId="1" fontId="3" fillId="3" borderId="32" xfId="0" applyNumberFormat="1" applyFont="1" applyFill="1" applyBorder="1" applyAlignment="1" applyProtection="1">
      <alignment horizontal="center" vertical="center"/>
      <protection locked="0"/>
    </xf>
    <xf numFmtId="1" fontId="3" fillId="0" borderId="33" xfId="0" applyNumberFormat="1" applyFont="1" applyBorder="1" applyAlignment="1" applyProtection="1">
      <alignment horizontal="center" vertical="center"/>
      <protection locked="0"/>
    </xf>
    <xf numFmtId="1" fontId="3" fillId="3" borderId="33" xfId="0" applyNumberFormat="1" applyFont="1" applyFill="1" applyBorder="1" applyAlignment="1" applyProtection="1">
      <alignment horizontal="center" vertical="center"/>
      <protection locked="0"/>
    </xf>
    <xf numFmtId="1" fontId="3" fillId="3" borderId="1" xfId="0" applyNumberFormat="1" applyFont="1" applyFill="1" applyBorder="1" applyAlignment="1" applyProtection="1">
      <alignment horizontal="center" vertical="center"/>
      <protection hidden="1"/>
    </xf>
    <xf numFmtId="1" fontId="3" fillId="0" borderId="1" xfId="0" applyNumberFormat="1" applyFont="1" applyBorder="1" applyAlignment="1" applyProtection="1">
      <alignment horizontal="center" vertical="center"/>
      <protection hidden="1"/>
    </xf>
    <xf numFmtId="1" fontId="3" fillId="0" borderId="9" xfId="0" applyNumberFormat="1" applyFont="1" applyBorder="1" applyAlignment="1" applyProtection="1">
      <alignment horizontal="center" vertical="center"/>
      <protection hidden="1"/>
    </xf>
    <xf numFmtId="1" fontId="3" fillId="3" borderId="11" xfId="0" applyNumberFormat="1" applyFont="1" applyFill="1" applyBorder="1" applyAlignment="1" applyProtection="1">
      <alignment horizontal="center" vertical="center"/>
      <protection hidden="1"/>
    </xf>
    <xf numFmtId="1" fontId="3" fillId="0" borderId="11" xfId="0" applyNumberFormat="1" applyFont="1" applyBorder="1" applyAlignment="1" applyProtection="1">
      <alignment horizontal="center" vertical="center"/>
      <protection hidden="1"/>
    </xf>
    <xf numFmtId="1" fontId="3" fillId="0" borderId="12" xfId="0" applyNumberFormat="1" applyFont="1" applyBorder="1" applyAlignment="1" applyProtection="1">
      <alignment horizontal="center" vertical="center"/>
      <protection hidden="1"/>
    </xf>
    <xf numFmtId="1" fontId="3" fillId="3" borderId="7" xfId="0" applyNumberFormat="1" applyFont="1" applyFill="1" applyBorder="1" applyAlignment="1" applyProtection="1">
      <alignment horizontal="center" vertical="center"/>
      <protection hidden="1"/>
    </xf>
    <xf numFmtId="1" fontId="3" fillId="0" borderId="7" xfId="0" applyNumberFormat="1" applyFont="1" applyBorder="1" applyAlignment="1" applyProtection="1">
      <alignment horizontal="center" vertical="center"/>
      <protection hidden="1"/>
    </xf>
    <xf numFmtId="1" fontId="3" fillId="0" borderId="10" xfId="0" applyNumberFormat="1" applyFont="1" applyBorder="1" applyAlignment="1" applyProtection="1">
      <alignment horizontal="center" vertical="center"/>
      <protection hidden="1"/>
    </xf>
    <xf numFmtId="1" fontId="3" fillId="0" borderId="34" xfId="0" applyNumberFormat="1" applyFont="1" applyBorder="1" applyAlignment="1" applyProtection="1">
      <alignment horizontal="center" vertical="center"/>
      <protection locked="0"/>
    </xf>
    <xf numFmtId="0" fontId="6" fillId="2" borderId="13" xfId="0" applyFont="1" applyFill="1" applyBorder="1" applyAlignment="1" applyProtection="1">
      <alignment horizontal="center" vertical="center" wrapText="1"/>
      <protection hidden="1"/>
    </xf>
    <xf numFmtId="0" fontId="6" fillId="2" borderId="14" xfId="0" applyFont="1" applyFill="1" applyBorder="1" applyAlignment="1" applyProtection="1">
      <alignment horizontal="center" vertical="center" wrapText="1"/>
      <protection hidden="1"/>
    </xf>
    <xf numFmtId="0" fontId="6" fillId="2" borderId="15" xfId="0" applyFont="1" applyFill="1" applyBorder="1" applyAlignment="1" applyProtection="1">
      <alignment horizontal="center" vertical="center" wrapText="1"/>
      <protection hidden="1"/>
    </xf>
    <xf numFmtId="1" fontId="3" fillId="3" borderId="18" xfId="0" applyNumberFormat="1" applyFont="1" applyFill="1" applyBorder="1" applyAlignment="1" applyProtection="1">
      <alignment horizontal="center" vertical="center"/>
      <protection hidden="1"/>
    </xf>
    <xf numFmtId="0" fontId="2" fillId="2" borderId="31" xfId="0" applyFont="1" applyFill="1" applyBorder="1" applyAlignment="1" applyProtection="1">
      <alignment horizontal="center" vertical="center" wrapText="1"/>
      <protection hidden="1"/>
    </xf>
    <xf numFmtId="0" fontId="2" fillId="2" borderId="20" xfId="0" applyFont="1" applyFill="1" applyBorder="1" applyAlignment="1" applyProtection="1">
      <alignment horizontal="center" vertical="center" wrapText="1"/>
      <protection hidden="1"/>
    </xf>
    <xf numFmtId="0" fontId="2" fillId="2" borderId="19" xfId="0" applyFont="1" applyFill="1" applyBorder="1" applyAlignment="1" applyProtection="1">
      <alignment horizontal="center" vertical="center" wrapText="1"/>
      <protection hidden="1"/>
    </xf>
    <xf numFmtId="0" fontId="0" fillId="0" borderId="45" xfId="0" applyBorder="1"/>
    <xf numFmtId="0" fontId="2" fillId="2" borderId="3" xfId="0" applyFont="1" applyFill="1" applyBorder="1" applyAlignment="1" applyProtection="1">
      <alignment vertical="center"/>
      <protection hidden="1"/>
    </xf>
    <xf numFmtId="0" fontId="2" fillId="2" borderId="5" xfId="0" applyFont="1" applyFill="1" applyBorder="1" applyAlignment="1" applyProtection="1">
      <alignment vertical="center"/>
      <protection hidden="1"/>
    </xf>
    <xf numFmtId="0" fontId="0" fillId="5" borderId="44" xfId="0" applyFill="1" applyBorder="1" applyAlignment="1">
      <alignment horizontal="right"/>
    </xf>
    <xf numFmtId="0" fontId="0" fillId="0" borderId="49" xfId="0" applyBorder="1"/>
    <xf numFmtId="0" fontId="0" fillId="7" borderId="45" xfId="0" applyFill="1" applyBorder="1"/>
    <xf numFmtId="0" fontId="0" fillId="7" borderId="0" xfId="0" applyFill="1"/>
    <xf numFmtId="0" fontId="0" fillId="7" borderId="47" xfId="0" applyFill="1" applyBorder="1"/>
    <xf numFmtId="0" fontId="0" fillId="7" borderId="37" xfId="0" applyFill="1" applyBorder="1"/>
    <xf numFmtId="0" fontId="0" fillId="0" borderId="55" xfId="0" applyBorder="1"/>
    <xf numFmtId="0" fontId="0" fillId="0" borderId="47" xfId="0" applyBorder="1"/>
    <xf numFmtId="0" fontId="2" fillId="2" borderId="51" xfId="0" applyFont="1" applyFill="1" applyBorder="1" applyAlignment="1" applyProtection="1">
      <alignment horizontal="center" vertical="center" wrapText="1"/>
      <protection hidden="1"/>
    </xf>
    <xf numFmtId="0" fontId="9" fillId="0" borderId="1" xfId="0" applyFont="1" applyBorder="1" applyAlignment="1">
      <alignment horizontal="center" vertical="center"/>
    </xf>
    <xf numFmtId="1" fontId="0" fillId="0" borderId="0" xfId="0" applyNumberFormat="1"/>
    <xf numFmtId="0" fontId="2" fillId="2" borderId="26" xfId="0" applyFont="1" applyFill="1" applyBorder="1" applyAlignment="1" applyProtection="1">
      <alignment horizontal="center" vertical="center" wrapText="1"/>
      <protection hidden="1"/>
    </xf>
    <xf numFmtId="0" fontId="0" fillId="5" borderId="43" xfId="0" applyFill="1" applyBorder="1" applyAlignment="1">
      <alignment horizontal="right"/>
    </xf>
    <xf numFmtId="0" fontId="2" fillId="6" borderId="22" xfId="0" applyFont="1" applyFill="1" applyBorder="1" applyAlignment="1" applyProtection="1">
      <alignment horizontal="center" vertical="center" wrapText="1"/>
      <protection hidden="1"/>
    </xf>
    <xf numFmtId="0" fontId="6" fillId="2" borderId="22" xfId="0" applyFont="1" applyFill="1" applyBorder="1" applyAlignment="1" applyProtection="1">
      <alignment horizontal="center" vertical="center" wrapText="1"/>
      <protection hidden="1"/>
    </xf>
    <xf numFmtId="0" fontId="7" fillId="0" borderId="3" xfId="0" applyFont="1" applyBorder="1" applyAlignment="1">
      <alignment horizontal="center"/>
    </xf>
    <xf numFmtId="1" fontId="3" fillId="3" borderId="4" xfId="0" applyNumberFormat="1" applyFont="1" applyFill="1" applyBorder="1" applyAlignment="1" applyProtection="1">
      <alignment horizontal="center" vertical="center"/>
      <protection hidden="1"/>
    </xf>
    <xf numFmtId="1" fontId="3" fillId="3" borderId="35" xfId="0" applyNumberFormat="1" applyFont="1" applyFill="1" applyBorder="1" applyAlignment="1" applyProtection="1">
      <alignment horizontal="center" vertical="center"/>
      <protection hidden="1"/>
    </xf>
    <xf numFmtId="0" fontId="0" fillId="2" borderId="25" xfId="0" applyFill="1" applyBorder="1" applyAlignment="1" applyProtection="1">
      <alignment horizontal="right"/>
      <protection hidden="1"/>
    </xf>
    <xf numFmtId="1" fontId="0" fillId="0" borderId="52" xfId="0" applyNumberFormat="1" applyBorder="1" applyProtection="1">
      <protection hidden="1"/>
    </xf>
    <xf numFmtId="1" fontId="0" fillId="0" borderId="0" xfId="0" applyNumberFormat="1" applyProtection="1">
      <protection hidden="1"/>
    </xf>
    <xf numFmtId="1" fontId="0" fillId="0" borderId="37" xfId="0" applyNumberFormat="1" applyBorder="1" applyProtection="1">
      <protection hidden="1"/>
    </xf>
    <xf numFmtId="1" fontId="3" fillId="3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6" xfId="0" applyNumberFormat="1" applyFont="1" applyBorder="1" applyAlignment="1" applyProtection="1">
      <alignment horizontal="center" vertical="center"/>
      <protection locked="0"/>
    </xf>
    <xf numFmtId="1" fontId="3" fillId="3" borderId="6" xfId="0" applyNumberFormat="1" applyFont="1" applyFill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/>
      <protection locked="0"/>
    </xf>
    <xf numFmtId="1" fontId="3" fillId="3" borderId="17" xfId="0" applyNumberFormat="1" applyFont="1" applyFill="1" applyBorder="1" applyAlignment="1" applyProtection="1">
      <alignment horizontal="center" vertical="center"/>
      <protection locked="0"/>
    </xf>
    <xf numFmtId="1" fontId="3" fillId="0" borderId="1" xfId="0" applyNumberFormat="1" applyFont="1" applyBorder="1" applyAlignment="1" applyProtection="1">
      <alignment horizontal="center" vertical="center"/>
      <protection locked="0"/>
    </xf>
    <xf numFmtId="1" fontId="3" fillId="3" borderId="1" xfId="0" applyNumberFormat="1" applyFont="1" applyFill="1" applyBorder="1" applyAlignment="1" applyProtection="1">
      <alignment horizontal="center" vertical="center"/>
      <protection locked="0"/>
    </xf>
    <xf numFmtId="1" fontId="3" fillId="0" borderId="9" xfId="0" applyNumberFormat="1" applyFont="1" applyBorder="1" applyAlignment="1" applyProtection="1">
      <alignment horizontal="center" vertical="center"/>
      <protection locked="0"/>
    </xf>
    <xf numFmtId="1" fontId="3" fillId="0" borderId="28" xfId="0" applyNumberFormat="1" applyFont="1" applyBorder="1" applyAlignment="1" applyProtection="1">
      <alignment horizontal="center" vertical="center"/>
      <protection locked="0"/>
    </xf>
    <xf numFmtId="1" fontId="3" fillId="3" borderId="28" xfId="0" applyNumberFormat="1" applyFont="1" applyFill="1" applyBorder="1" applyAlignment="1" applyProtection="1">
      <alignment horizontal="center" vertical="center"/>
      <protection locked="0"/>
    </xf>
    <xf numFmtId="1" fontId="3" fillId="0" borderId="29" xfId="0" applyNumberFormat="1" applyFont="1" applyBorder="1" applyAlignment="1" applyProtection="1">
      <alignment horizontal="center" vertical="center"/>
      <protection locked="0"/>
    </xf>
    <xf numFmtId="164" fontId="3" fillId="3" borderId="27" xfId="0" applyNumberFormat="1" applyFont="1" applyFill="1" applyBorder="1" applyAlignment="1" applyProtection="1">
      <alignment horizontal="center" vertical="center"/>
      <protection locked="0"/>
    </xf>
    <xf numFmtId="164" fontId="3" fillId="0" borderId="28" xfId="0" applyNumberFormat="1" applyFont="1" applyBorder="1" applyAlignment="1" applyProtection="1">
      <alignment horizontal="center" vertical="center"/>
      <protection locked="0"/>
    </xf>
    <xf numFmtId="164" fontId="3" fillId="3" borderId="28" xfId="0" applyNumberFormat="1" applyFont="1" applyFill="1" applyBorder="1" applyAlignment="1" applyProtection="1">
      <alignment horizontal="center" vertical="center"/>
      <protection locked="0"/>
    </xf>
    <xf numFmtId="164" fontId="3" fillId="0" borderId="29" xfId="0" applyNumberFormat="1" applyFont="1" applyBorder="1" applyAlignment="1" applyProtection="1">
      <alignment horizontal="center" vertical="center"/>
      <protection locked="0"/>
    </xf>
    <xf numFmtId="1" fontId="3" fillId="3" borderId="4" xfId="0" applyNumberFormat="1" applyFont="1" applyFill="1" applyBorder="1" applyAlignment="1" applyProtection="1">
      <alignment horizontal="center" vertical="center"/>
      <protection locked="0"/>
    </xf>
    <xf numFmtId="1" fontId="3" fillId="3" borderId="36" xfId="0" applyNumberFormat="1" applyFont="1" applyFill="1" applyBorder="1" applyAlignment="1" applyProtection="1">
      <alignment horizontal="center" vertical="center"/>
      <protection locked="0"/>
    </xf>
    <xf numFmtId="14" fontId="3" fillId="0" borderId="6" xfId="0" applyNumberFormat="1" applyFont="1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center" vertical="center"/>
      <protection hidden="1"/>
    </xf>
    <xf numFmtId="0" fontId="0" fillId="4" borderId="39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47" xfId="0" applyBorder="1" applyProtection="1">
      <protection locked="0"/>
    </xf>
    <xf numFmtId="0" fontId="0" fillId="0" borderId="37" xfId="0" applyBorder="1" applyProtection="1">
      <protection locked="0"/>
    </xf>
    <xf numFmtId="0" fontId="0" fillId="4" borderId="42" xfId="0" applyFill="1" applyBorder="1" applyProtection="1">
      <protection locked="0"/>
    </xf>
    <xf numFmtId="0" fontId="0" fillId="0" borderId="55" xfId="0" applyBorder="1" applyProtection="1">
      <protection locked="0"/>
    </xf>
    <xf numFmtId="0" fontId="0" fillId="0" borderId="53" xfId="0" applyBorder="1" applyProtection="1">
      <protection locked="0"/>
    </xf>
    <xf numFmtId="0" fontId="0" fillId="0" borderId="52" xfId="0" applyBorder="1" applyProtection="1">
      <protection locked="0"/>
    </xf>
    <xf numFmtId="0" fontId="0" fillId="0" borderId="56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49" xfId="0" applyBorder="1" applyProtection="1">
      <protection locked="0"/>
    </xf>
    <xf numFmtId="0" fontId="0" fillId="4" borderId="22" xfId="0" applyFill="1" applyBorder="1" applyProtection="1">
      <protection locked="0"/>
    </xf>
    <xf numFmtId="1" fontId="3" fillId="0" borderId="7" xfId="0" applyNumberFormat="1" applyFont="1" applyBorder="1" applyProtection="1">
      <protection hidden="1"/>
    </xf>
    <xf numFmtId="1" fontId="3" fillId="3" borderId="7" xfId="0" applyNumberFormat="1" applyFont="1" applyFill="1" applyBorder="1" applyProtection="1">
      <protection hidden="1"/>
    </xf>
    <xf numFmtId="1" fontId="3" fillId="0" borderId="10" xfId="0" applyNumberFormat="1" applyFont="1" applyBorder="1" applyProtection="1">
      <protection hidden="1"/>
    </xf>
    <xf numFmtId="1" fontId="3" fillId="3" borderId="5" xfId="0" applyNumberFormat="1" applyFont="1" applyFill="1" applyBorder="1" applyProtection="1">
      <protection hidden="1"/>
    </xf>
    <xf numFmtId="1" fontId="3" fillId="0" borderId="7" xfId="0" applyNumberFormat="1" applyFont="1" applyBorder="1" applyAlignment="1" applyProtection="1">
      <alignment horizontal="center" vertical="center"/>
      <protection locked="0"/>
    </xf>
    <xf numFmtId="1" fontId="3" fillId="3" borderId="7" xfId="0" applyNumberFormat="1" applyFont="1" applyFill="1" applyBorder="1" applyAlignment="1" applyProtection="1">
      <alignment horizontal="center" vertical="center"/>
      <protection locked="0"/>
    </xf>
    <xf numFmtId="14" fontId="3" fillId="0" borderId="43" xfId="0" applyNumberFormat="1" applyFont="1" applyBorder="1" applyAlignment="1" applyProtection="1">
      <alignment horizontal="center" vertical="center"/>
      <protection hidden="1"/>
    </xf>
    <xf numFmtId="0" fontId="3" fillId="0" borderId="44" xfId="0" applyFont="1" applyBorder="1" applyAlignment="1" applyProtection="1">
      <alignment horizontal="center" vertical="center"/>
      <protection hidden="1"/>
    </xf>
    <xf numFmtId="0" fontId="0" fillId="5" borderId="63" xfId="0" applyFill="1" applyBorder="1" applyAlignment="1">
      <alignment horizontal="right"/>
    </xf>
    <xf numFmtId="0" fontId="0" fillId="5" borderId="64" xfId="0" applyFill="1" applyBorder="1" applyAlignment="1">
      <alignment horizontal="right"/>
    </xf>
    <xf numFmtId="0" fontId="0" fillId="9" borderId="0" xfId="0" applyFill="1"/>
    <xf numFmtId="0" fontId="11" fillId="9" borderId="0" xfId="0" applyFont="1" applyFill="1" applyAlignment="1">
      <alignment horizontal="center"/>
    </xf>
    <xf numFmtId="0" fontId="0" fillId="9" borderId="53" xfId="0" applyFill="1" applyBorder="1"/>
    <xf numFmtId="0" fontId="0" fillId="9" borderId="52" xfId="0" applyFill="1" applyBorder="1"/>
    <xf numFmtId="0" fontId="0" fillId="9" borderId="56" xfId="0" applyFill="1" applyBorder="1"/>
    <xf numFmtId="0" fontId="0" fillId="9" borderId="45" xfId="0" applyFill="1" applyBorder="1"/>
    <xf numFmtId="0" fontId="0" fillId="9" borderId="49" xfId="0" applyFill="1" applyBorder="1"/>
    <xf numFmtId="0" fontId="0" fillId="9" borderId="47" xfId="0" applyFill="1" applyBorder="1"/>
    <xf numFmtId="0" fontId="0" fillId="9" borderId="37" xfId="0" applyFill="1" applyBorder="1"/>
    <xf numFmtId="0" fontId="0" fillId="9" borderId="55" xfId="0" applyFill="1" applyBorder="1"/>
    <xf numFmtId="164" fontId="3" fillId="3" borderId="18" xfId="0" applyNumberFormat="1" applyFont="1" applyFill="1" applyBorder="1" applyAlignment="1" applyProtection="1">
      <alignment horizontal="center" vertical="center"/>
      <protection locked="0"/>
    </xf>
    <xf numFmtId="164" fontId="3" fillId="0" borderId="7" xfId="0" applyNumberFormat="1" applyFont="1" applyBorder="1" applyAlignment="1" applyProtection="1">
      <alignment horizontal="center" vertical="center"/>
      <protection locked="0"/>
    </xf>
    <xf numFmtId="164" fontId="3" fillId="3" borderId="7" xfId="0" applyNumberFormat="1" applyFont="1" applyFill="1" applyBorder="1" applyAlignment="1" applyProtection="1">
      <alignment horizontal="center" vertical="center"/>
      <protection locked="0"/>
    </xf>
    <xf numFmtId="164" fontId="3" fillId="0" borderId="10" xfId="0" applyNumberFormat="1" applyFont="1" applyBorder="1" applyAlignment="1" applyProtection="1">
      <alignment horizontal="center" vertical="center"/>
      <protection locked="0"/>
    </xf>
    <xf numFmtId="1" fontId="3" fillId="3" borderId="5" xfId="0" applyNumberFormat="1" applyFont="1" applyFill="1" applyBorder="1" applyAlignment="1" applyProtection="1">
      <alignment horizontal="center" vertical="center"/>
      <protection hidden="1"/>
    </xf>
    <xf numFmtId="0" fontId="0" fillId="10" borderId="31" xfId="0" applyFill="1" applyBorder="1" applyProtection="1">
      <protection hidden="1"/>
    </xf>
    <xf numFmtId="0" fontId="0" fillId="10" borderId="48" xfId="0" applyFill="1" applyBorder="1" applyProtection="1">
      <protection hidden="1"/>
    </xf>
    <xf numFmtId="0" fontId="0" fillId="10" borderId="51" xfId="0" applyFill="1" applyBorder="1" applyProtection="1">
      <protection hidden="1"/>
    </xf>
    <xf numFmtId="0" fontId="5" fillId="10" borderId="53" xfId="0" applyFont="1" applyFill="1" applyBorder="1" applyProtection="1">
      <protection hidden="1"/>
    </xf>
    <xf numFmtId="0" fontId="5" fillId="10" borderId="52" xfId="0" applyFont="1" applyFill="1" applyBorder="1" applyProtection="1">
      <protection hidden="1"/>
    </xf>
    <xf numFmtId="0" fontId="5" fillId="10" borderId="56" xfId="0" applyFont="1" applyFill="1" applyBorder="1" applyProtection="1">
      <protection hidden="1"/>
    </xf>
    <xf numFmtId="0" fontId="0" fillId="10" borderId="53" xfId="0" applyFill="1" applyBorder="1" applyProtection="1">
      <protection hidden="1"/>
    </xf>
    <xf numFmtId="0" fontId="0" fillId="10" borderId="52" xfId="0" applyFill="1" applyBorder="1" applyProtection="1">
      <protection hidden="1"/>
    </xf>
    <xf numFmtId="0" fontId="0" fillId="10" borderId="56" xfId="0" applyFill="1" applyBorder="1" applyProtection="1">
      <protection hidden="1"/>
    </xf>
    <xf numFmtId="0" fontId="5" fillId="10" borderId="51" xfId="0" applyFont="1" applyFill="1" applyBorder="1" applyProtection="1">
      <protection hidden="1"/>
    </xf>
    <xf numFmtId="0" fontId="5" fillId="10" borderId="31" xfId="0" applyFont="1" applyFill="1" applyBorder="1" applyProtection="1">
      <protection hidden="1"/>
    </xf>
    <xf numFmtId="0" fontId="5" fillId="10" borderId="48" xfId="0" applyFont="1" applyFill="1" applyBorder="1" applyProtection="1">
      <protection hidden="1"/>
    </xf>
    <xf numFmtId="0" fontId="2" fillId="2" borderId="43" xfId="0" applyFont="1" applyFill="1" applyBorder="1" applyProtection="1">
      <protection hidden="1"/>
    </xf>
    <xf numFmtId="0" fontId="2" fillId="2" borderId="50" xfId="0" applyFont="1" applyFill="1" applyBorder="1" applyProtection="1">
      <protection hidden="1"/>
    </xf>
    <xf numFmtId="164" fontId="3" fillId="0" borderId="46" xfId="0" applyNumberFormat="1" applyFont="1" applyBorder="1" applyAlignment="1" applyProtection="1">
      <alignment horizontal="center" vertical="center"/>
      <protection locked="0"/>
    </xf>
    <xf numFmtId="0" fontId="0" fillId="5" borderId="45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49" xfId="0" applyFill="1" applyBorder="1" applyAlignment="1">
      <alignment horizontal="right"/>
    </xf>
    <xf numFmtId="0" fontId="0" fillId="11" borderId="51" xfId="0" applyFill="1" applyBorder="1" applyProtection="1">
      <protection locked="0"/>
    </xf>
    <xf numFmtId="0" fontId="0" fillId="11" borderId="31" xfId="0" applyFill="1" applyBorder="1" applyProtection="1">
      <protection locked="0"/>
    </xf>
    <xf numFmtId="0" fontId="0" fillId="11" borderId="42" xfId="0" applyFill="1" applyBorder="1" applyProtection="1">
      <protection locked="0"/>
    </xf>
    <xf numFmtId="0" fontId="0" fillId="11" borderId="48" xfId="0" applyFill="1" applyBorder="1" applyProtection="1">
      <protection locked="0"/>
    </xf>
    <xf numFmtId="0" fontId="0" fillId="11" borderId="52" xfId="0" applyFill="1" applyBorder="1" applyProtection="1">
      <protection locked="0"/>
    </xf>
    <xf numFmtId="0" fontId="0" fillId="11" borderId="39" xfId="0" applyFill="1" applyBorder="1" applyProtection="1">
      <protection locked="0"/>
    </xf>
    <xf numFmtId="0" fontId="0" fillId="11" borderId="22" xfId="0" applyFill="1" applyBorder="1" applyProtection="1">
      <protection locked="0"/>
    </xf>
    <xf numFmtId="0" fontId="0" fillId="11" borderId="0" xfId="0" applyFill="1" applyProtection="1">
      <protection locked="0"/>
    </xf>
    <xf numFmtId="0" fontId="0" fillId="11" borderId="37" xfId="0" applyFill="1" applyBorder="1" applyProtection="1">
      <protection locked="0"/>
    </xf>
    <xf numFmtId="0" fontId="0" fillId="11" borderId="47" xfId="0" applyFill="1" applyBorder="1" applyProtection="1">
      <protection locked="0"/>
    </xf>
    <xf numFmtId="0" fontId="0" fillId="11" borderId="45" xfId="0" applyFill="1" applyBorder="1" applyProtection="1">
      <protection locked="0"/>
    </xf>
    <xf numFmtId="0" fontId="6" fillId="6" borderId="15" xfId="0" applyFont="1" applyFill="1" applyBorder="1" applyAlignment="1" applyProtection="1">
      <alignment horizontal="center" vertical="center" wrapText="1"/>
      <protection locked="0"/>
    </xf>
    <xf numFmtId="0" fontId="6" fillId="6" borderId="13" xfId="0" applyFont="1" applyFill="1" applyBorder="1" applyAlignment="1" applyProtection="1">
      <alignment horizontal="center" vertical="center" wrapText="1"/>
      <protection locked="0"/>
    </xf>
    <xf numFmtId="0" fontId="6" fillId="2" borderId="13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 applyProtection="1">
      <protection locked="0"/>
    </xf>
    <xf numFmtId="1" fontId="3" fillId="0" borderId="30" xfId="0" applyNumberFormat="1" applyFont="1" applyBorder="1" applyAlignment="1" applyProtection="1">
      <alignment horizontal="center" vertical="center"/>
      <protection locked="0"/>
    </xf>
    <xf numFmtId="1" fontId="3" fillId="0" borderId="46" xfId="0" applyNumberFormat="1" applyFont="1" applyBorder="1" applyAlignment="1" applyProtection="1">
      <alignment horizontal="center" vertical="center"/>
      <protection locked="0"/>
    </xf>
    <xf numFmtId="0" fontId="8" fillId="0" borderId="53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0" fillId="0" borderId="43" xfId="0" applyBorder="1" applyAlignment="1" applyProtection="1">
      <alignment horizontal="center" vertical="center" wrapText="1"/>
      <protection hidden="1"/>
    </xf>
    <xf numFmtId="0" fontId="0" fillId="0" borderId="58" xfId="0" applyBorder="1" applyAlignment="1" applyProtection="1">
      <alignment horizontal="center" vertical="center" wrapText="1"/>
      <protection hidden="1"/>
    </xf>
    <xf numFmtId="0" fontId="0" fillId="0" borderId="59" xfId="0" applyBorder="1" applyAlignment="1" applyProtection="1">
      <alignment horizontal="center" vertical="center" wrapText="1"/>
      <protection hidden="1"/>
    </xf>
    <xf numFmtId="0" fontId="0" fillId="0" borderId="46" xfId="0" applyBorder="1" applyAlignment="1" applyProtection="1">
      <alignment horizontal="center" vertical="center" wrapText="1"/>
      <protection locked="0"/>
    </xf>
    <xf numFmtId="0" fontId="0" fillId="0" borderId="50" xfId="0" applyBorder="1" applyAlignment="1" applyProtection="1">
      <alignment horizontal="center" vertical="center" wrapText="1"/>
      <protection locked="0"/>
    </xf>
    <xf numFmtId="0" fontId="0" fillId="0" borderId="54" xfId="0" applyBorder="1" applyAlignment="1" applyProtection="1">
      <alignment horizontal="center" vertical="center" wrapText="1"/>
      <protection locked="0"/>
    </xf>
    <xf numFmtId="0" fontId="0" fillId="0" borderId="57" xfId="0" applyBorder="1" applyAlignment="1" applyProtection="1">
      <alignment horizontal="center" vertical="center" wrapText="1"/>
      <protection locked="0"/>
    </xf>
    <xf numFmtId="0" fontId="0" fillId="0" borderId="60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3" fillId="0" borderId="30" xfId="0" applyFont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left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7" fillId="0" borderId="36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4" fillId="0" borderId="0" xfId="0" applyFont="1" applyAlignment="1" applyProtection="1">
      <alignment horizontal="right"/>
      <protection hidden="1"/>
    </xf>
    <xf numFmtId="0" fontId="4" fillId="0" borderId="37" xfId="0" applyFont="1" applyBorder="1" applyAlignment="1" applyProtection="1">
      <alignment horizontal="right"/>
      <protection hidden="1"/>
    </xf>
    <xf numFmtId="0" fontId="2" fillId="2" borderId="40" xfId="0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left"/>
      <protection hidden="1"/>
    </xf>
    <xf numFmtId="0" fontId="2" fillId="2" borderId="28" xfId="0" applyFont="1" applyFill="1" applyBorder="1" applyAlignment="1" applyProtection="1">
      <alignment horizontal="left"/>
      <protection hidden="1"/>
    </xf>
    <xf numFmtId="0" fontId="2" fillId="2" borderId="41" xfId="0" applyFont="1" applyFill="1" applyBorder="1" applyAlignment="1" applyProtection="1">
      <alignment horizontal="left"/>
      <protection hidden="1"/>
    </xf>
    <xf numFmtId="0" fontId="2" fillId="2" borderId="27" xfId="0" applyFont="1" applyFill="1" applyBorder="1" applyAlignment="1" applyProtection="1">
      <alignment horizontal="left"/>
      <protection hidden="1"/>
    </xf>
    <xf numFmtId="0" fontId="2" fillId="2" borderId="16" xfId="0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28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40" xfId="0" applyFont="1" applyBorder="1" applyAlignment="1" applyProtection="1">
      <alignment horizontal="center" vertical="center"/>
      <protection locked="0"/>
    </xf>
    <xf numFmtId="0" fontId="3" fillId="0" borderId="41" xfId="0" applyFont="1" applyBorder="1" applyAlignment="1" applyProtection="1">
      <alignment horizontal="center" vertical="center"/>
      <protection locked="0"/>
    </xf>
    <xf numFmtId="0" fontId="3" fillId="0" borderId="3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left"/>
      <protection hidden="1"/>
    </xf>
    <xf numFmtId="0" fontId="3" fillId="0" borderId="6" xfId="0" applyFont="1" applyBorder="1" applyAlignment="1" applyProtection="1">
      <alignment horizontal="center" vertical="center"/>
      <protection locked="0"/>
    </xf>
    <xf numFmtId="0" fontId="2" fillId="2" borderId="50" xfId="0" applyFont="1" applyFill="1" applyBorder="1" applyAlignment="1" applyProtection="1">
      <alignment horizontal="left"/>
      <protection hidden="1"/>
    </xf>
    <xf numFmtId="0" fontId="2" fillId="2" borderId="30" xfId="0" applyFont="1" applyFill="1" applyBorder="1" applyAlignment="1" applyProtection="1">
      <alignment horizontal="left"/>
      <protection hidden="1"/>
    </xf>
    <xf numFmtId="0" fontId="2" fillId="2" borderId="4" xfId="0" applyFont="1" applyFill="1" applyBorder="1" applyAlignment="1" applyProtection="1">
      <alignment horizontal="left"/>
      <protection hidden="1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left"/>
      <protection hidden="1"/>
    </xf>
    <xf numFmtId="0" fontId="2" fillId="2" borderId="62" xfId="0" applyFont="1" applyFill="1" applyBorder="1" applyAlignment="1" applyProtection="1">
      <alignment horizontal="left"/>
      <protection hidden="1"/>
    </xf>
    <xf numFmtId="0" fontId="3" fillId="0" borderId="46" xfId="0" applyFont="1" applyBorder="1" applyAlignment="1" applyProtection="1">
      <alignment horizontal="center" vertical="center"/>
      <protection hidden="1"/>
    </xf>
    <xf numFmtId="0" fontId="3" fillId="0" borderId="50" xfId="0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6" fillId="2" borderId="42" xfId="0" applyFont="1" applyFill="1" applyBorder="1" applyAlignment="1" applyProtection="1">
      <alignment horizontal="center" vertical="center" wrapText="1"/>
      <protection locked="0"/>
    </xf>
    <xf numFmtId="0" fontId="6" fillId="2" borderId="39" xfId="0" applyFont="1" applyFill="1" applyBorder="1" applyAlignment="1" applyProtection="1">
      <alignment horizontal="center" vertical="center" wrapText="1"/>
      <protection locked="0"/>
    </xf>
    <xf numFmtId="0" fontId="6" fillId="2" borderId="22" xfId="0" applyFont="1" applyFill="1" applyBorder="1" applyAlignment="1" applyProtection="1">
      <alignment horizontal="center" vertical="center" wrapText="1"/>
      <protection locked="0"/>
    </xf>
    <xf numFmtId="1" fontId="3" fillId="3" borderId="61" xfId="0" applyNumberFormat="1" applyFont="1" applyFill="1" applyBorder="1" applyAlignment="1" applyProtection="1">
      <alignment horizontal="center" vertical="center"/>
      <protection locked="0"/>
    </xf>
    <xf numFmtId="1" fontId="3" fillId="3" borderId="17" xfId="0" applyNumberFormat="1" applyFont="1" applyFill="1" applyBorder="1" applyAlignment="1" applyProtection="1">
      <alignment horizontal="center" vertical="center"/>
      <protection locked="0"/>
    </xf>
    <xf numFmtId="1" fontId="3" fillId="0" borderId="30" xfId="0" applyNumberFormat="1" applyFont="1" applyBorder="1" applyAlignment="1" applyProtection="1">
      <alignment horizontal="center" vertical="center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" fontId="3" fillId="3" borderId="30" xfId="0" applyNumberFormat="1" applyFont="1" applyFill="1" applyBorder="1" applyAlignment="1" applyProtection="1">
      <alignment horizontal="center" vertical="center"/>
      <protection locked="0"/>
    </xf>
    <xf numFmtId="1" fontId="3" fillId="0" borderId="24" xfId="0" applyNumberFormat="1" applyFont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left"/>
      <protection hidden="1"/>
    </xf>
  </cellXfs>
  <cellStyles count="1">
    <cellStyle name="Normal" xfId="0" builtinId="0"/>
  </cellStyles>
  <dxfs count="198"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" formatCode="0"/>
      <protection locked="1" hidden="1"/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protection locked="0" hidden="0"/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  <protection locked="0" hidden="0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numFmt numFmtId="165" formatCode="&quot;Double&quot;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  <dxf>
      <border outline="0"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70BD95"/>
      <color rgb="FFD9D9D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21678</xdr:colOff>
      <xdr:row>0</xdr:row>
      <xdr:rowOff>37686</xdr:rowOff>
    </xdr:from>
    <xdr:to>
      <xdr:col>3</xdr:col>
      <xdr:colOff>150599</xdr:colOff>
      <xdr:row>3</xdr:row>
      <xdr:rowOff>175930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1278" y="37686"/>
          <a:ext cx="2167271" cy="7192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2</xdr:row>
          <xdr:rowOff>83820</xdr:rowOff>
        </xdr:from>
        <xdr:to>
          <xdr:col>14</xdr:col>
          <xdr:colOff>137160</xdr:colOff>
          <xdr:row>5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Protect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441960</xdr:colOff>
          <xdr:row>5</xdr:row>
          <xdr:rowOff>137160</xdr:rowOff>
        </xdr:from>
        <xdr:to>
          <xdr:col>14</xdr:col>
          <xdr:colOff>137160</xdr:colOff>
          <xdr:row>7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Unprotect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21678</xdr:colOff>
      <xdr:row>0</xdr:row>
      <xdr:rowOff>28161</xdr:rowOff>
    </xdr:from>
    <xdr:to>
      <xdr:col>4</xdr:col>
      <xdr:colOff>322049</xdr:colOff>
      <xdr:row>3</xdr:row>
      <xdr:rowOff>175930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7053" y="28161"/>
          <a:ext cx="2167271" cy="7192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21678</xdr:colOff>
      <xdr:row>0</xdr:row>
      <xdr:rowOff>28161</xdr:rowOff>
    </xdr:from>
    <xdr:to>
      <xdr:col>4</xdr:col>
      <xdr:colOff>322049</xdr:colOff>
      <xdr:row>3</xdr:row>
      <xdr:rowOff>175930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7053" y="28161"/>
          <a:ext cx="2167271" cy="719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21678</xdr:colOff>
      <xdr:row>0</xdr:row>
      <xdr:rowOff>28161</xdr:rowOff>
    </xdr:from>
    <xdr:to>
      <xdr:col>3</xdr:col>
      <xdr:colOff>322049</xdr:colOff>
      <xdr:row>3</xdr:row>
      <xdr:rowOff>168310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7053" y="28161"/>
          <a:ext cx="2167271" cy="7192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</xdr:row>
          <xdr:rowOff>7620</xdr:rowOff>
        </xdr:from>
        <xdr:to>
          <xdr:col>0</xdr:col>
          <xdr:colOff>1089660</xdr:colOff>
          <xdr:row>3</xdr:row>
          <xdr:rowOff>83820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Double Power Supply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106680</xdr:rowOff>
        </xdr:from>
        <xdr:to>
          <xdr:col>0</xdr:col>
          <xdr:colOff>1089660</xdr:colOff>
          <xdr:row>6</xdr:row>
          <xdr:rowOff>68580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Reduce Double Power Supply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6</xdr:row>
          <xdr:rowOff>83820</xdr:rowOff>
        </xdr:from>
        <xdr:to>
          <xdr:col>0</xdr:col>
          <xdr:colOff>1089660</xdr:colOff>
          <xdr:row>7</xdr:row>
          <xdr:rowOff>342900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Power Supply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21678</xdr:colOff>
      <xdr:row>0</xdr:row>
      <xdr:rowOff>28161</xdr:rowOff>
    </xdr:from>
    <xdr:to>
      <xdr:col>5</xdr:col>
      <xdr:colOff>122024</xdr:colOff>
      <xdr:row>3</xdr:row>
      <xdr:rowOff>175930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7178" y="28161"/>
          <a:ext cx="2167271" cy="7192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21678</xdr:colOff>
      <xdr:row>0</xdr:row>
      <xdr:rowOff>28161</xdr:rowOff>
    </xdr:from>
    <xdr:to>
      <xdr:col>3</xdr:col>
      <xdr:colOff>325859</xdr:colOff>
      <xdr:row>3</xdr:row>
      <xdr:rowOff>172120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7053" y="28161"/>
          <a:ext cx="2167271" cy="7192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</xdr:row>
          <xdr:rowOff>68580</xdr:rowOff>
        </xdr:from>
        <xdr:to>
          <xdr:col>0</xdr:col>
          <xdr:colOff>1074420</xdr:colOff>
          <xdr:row>5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IO Devices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21678</xdr:colOff>
      <xdr:row>0</xdr:row>
      <xdr:rowOff>28161</xdr:rowOff>
    </xdr:from>
    <xdr:to>
      <xdr:col>3</xdr:col>
      <xdr:colOff>325859</xdr:colOff>
      <xdr:row>3</xdr:row>
      <xdr:rowOff>172120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7053" y="28161"/>
          <a:ext cx="2167271" cy="7192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</xdr:row>
          <xdr:rowOff>68580</xdr:rowOff>
        </xdr:from>
        <xdr:to>
          <xdr:col>0</xdr:col>
          <xdr:colOff>1074420</xdr:colOff>
          <xdr:row>5</xdr:row>
          <xdr:rowOff>76200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7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IO Devices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7A401C-7E52-4FEF-BC8C-7EBB6AAA3A9D}" name="RPP" displayName="RPP" ref="E3:E5" totalsRowShown="0">
  <autoFilter ref="E3:E5" xr:uid="{307A401C-7E52-4FEF-BC8C-7EBB6AAA3A9D}"/>
  <tableColumns count="1">
    <tableColumn id="1" xr3:uid="{72B31C9D-8B5F-4C56-9BB4-B8068B55B8E3}" name="RP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F87D05-CA59-45E4-808F-2C09B4DD40BE}" name="_30AMP" displayName="_30AMP" ref="E6:E7" totalsRowShown="0">
  <autoFilter ref="E6:E7" xr:uid="{94F87D05-CA59-45E4-808F-2C09B4DD40BE}"/>
  <tableColumns count="1">
    <tableColumn id="1" xr3:uid="{AA7C454B-C164-4B3E-8CBE-E5EAA3EB4A54}" name="_30AM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2E34DD-8524-4353-ABBD-6292ED8C569E}" name="_60AMP" displayName="_60AMP" ref="E8:E9" totalsRowShown="0">
  <autoFilter ref="E8:E9" xr:uid="{AD2E34DD-8524-4353-ABBD-6292ED8C569E}"/>
  <tableColumns count="1">
    <tableColumn id="1" xr3:uid="{2748F77E-45F4-4FEE-B811-CB2456CD9333}" name="_60AM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81233F-CB21-439E-9E5B-D7315A4BEB6A}" name="_100AMP" displayName="_100AMP" ref="E10:E11" totalsRowShown="0">
  <autoFilter ref="E10:E11" xr:uid="{6B81233F-CB21-439E-9E5B-D7315A4BEB6A}"/>
  <tableColumns count="1">
    <tableColumn id="1" xr3:uid="{7DF78827-DD7C-4D68-A9FE-C525515380C9}" name="_100AMP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C46D95C-7D54-4C31-B291-232E833A658C}" name="_200AMP" displayName="_200AMP" ref="E12:E15" totalsRowShown="0">
  <autoFilter ref="E12:E15" xr:uid="{DC46D95C-7D54-4C31-B291-232E833A658C}"/>
  <tableColumns count="1">
    <tableColumn id="1" xr3:uid="{596271D8-5810-4D12-8199-2B1ADA5D1814}" name="_200AMP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619E51-CF3B-4042-8D64-181615A4F9E6}" name="_400AMP" displayName="_400AMP" ref="E16:E19" totalsRowShown="0">
  <autoFilter ref="E16:E19" xr:uid="{15619E51-CF3B-4042-8D64-181615A4F9E6}"/>
  <tableColumns count="1">
    <tableColumn id="1" xr3:uid="{361C1250-4EAE-4048-BE62-AB08684CCF69}" name="_400AMP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8E0944-790F-4C6F-B011-B338F8850929}" name="_400AMPW" displayName="_400AMPW" ref="E33:E35" totalsRowShown="0">
  <autoFilter ref="E33:E35" xr:uid="{5A8E0944-790F-4C6F-B011-B338F8850929}"/>
  <tableColumns count="1">
    <tableColumn id="1" xr3:uid="{49A86034-F676-4DFD-8BEA-9B8F5DD6CEBD}" name="_400AMPW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382FEA-92E6-4F03-882F-80643083D68C}" name="_100AMPCP" displayName="_100AMPCP" ref="E20:E21" totalsRowShown="0">
  <autoFilter ref="E20:E21" xr:uid="{ED382FEA-92E6-4F03-882F-80643083D68C}"/>
  <tableColumns count="1">
    <tableColumn id="1" xr3:uid="{020504BC-7A93-4283-B6AB-652227AE1FE2}" name="_100AMPCP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B52E7E9-391B-4722-81C3-EEA106DAFD74}" name="_60AMPCombo" displayName="_60AMPCombo" ref="E22:E24" totalsRowShown="0">
  <autoFilter ref="E22:E24" xr:uid="{AB52E7E9-391B-4722-81C3-EEA106DAFD74}"/>
  <tableColumns count="1">
    <tableColumn id="1" xr3:uid="{7322EDF7-6C00-4FAA-A4C8-9F01911CB567}" name="_60AMPComb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912667-52DD-4654-AE7C-22965452B91F}" name="_100AMPCombo" displayName="_100AMPCombo" ref="E25:E26" totalsRowShown="0">
  <autoFilter ref="E25:E26" xr:uid="{7A912667-52DD-4654-AE7C-22965452B91F}"/>
  <tableColumns count="1">
    <tableColumn id="1" xr3:uid="{C040E3F8-FA1E-4647-88E5-2EBDE38C7CD4}" name="_100AMPComb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1F583A-5BB6-4A28-A62A-89C7D2E8099B}" name="_3KVA120" displayName="_3KVA120" ref="E27:E28" totalsRowShown="0">
  <autoFilter ref="E27:E28" xr:uid="{CF1F583A-5BB6-4A28-A62A-89C7D2E8099B}"/>
  <tableColumns count="1">
    <tableColumn id="1" xr3:uid="{17D698CF-7F28-4DB1-A0F8-DD6F9FA822A0}" name="_3KVA1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F9563C-84C4-43B5-9E69-3486590C1CDA}" name="_5KVA120" displayName="_5KVA120" ref="E29:E30" totalsRowShown="0">
  <autoFilter ref="E29:E30" xr:uid="{FCF9563C-84C4-43B5-9E69-3486590C1CDA}"/>
  <tableColumns count="1">
    <tableColumn id="1" xr3:uid="{7447B949-2874-4086-9416-5210FEB137B6}" name="_5KVA1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ABD860A2-0561-420B-A1E7-81D7955B562C}" name="Single" displayName="Single" ref="A48:A49" totalsRowShown="0">
  <autoFilter ref="A48:A49" xr:uid="{ABD860A2-0561-420B-A1E7-81D7955B562C}"/>
  <tableColumns count="1">
    <tableColumn id="1" xr3:uid="{1876A23B-ED22-457E-AFF1-BD3AE665A83E}" name="Singl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51DD197-60CF-442C-8EF2-C64C1E629F00}" name="Double" displayName="Double" ref="B48:B52" totalsRowShown="0">
  <autoFilter ref="B48:B52" xr:uid="{D51DD197-60CF-442C-8EF2-C64C1E629F00}"/>
  <tableColumns count="1">
    <tableColumn id="1" xr3:uid="{C14CDB56-9962-4B40-A837-B5C576FF6236}" name="Doubl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EBCD9BC-8194-465E-B882-899E920CE657}" name="ENetSwitch" displayName="ENetSwitch" ref="A54:A57" totalsRowShown="0">
  <autoFilter ref="A54:A57" xr:uid="{CEBCD9BC-8194-465E-B882-899E920CE657}"/>
  <tableColumns count="1">
    <tableColumn id="1" xr3:uid="{40F57852-0433-4D70-BEA9-62EDE4DF440C}" name="Ethernet Switch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2C6DE41-54A1-4BEF-9113-1AEBED1A2C99}" name="_E152" displayName="_E152" ref="G40:G42" totalsRowShown="0" headerRowDxfId="197" headerRowBorderDxfId="196" tableBorderDxfId="195">
  <autoFilter ref="G40:G42" xr:uid="{D2C6DE41-54A1-4BEF-9113-1AEBED1A2C99}"/>
  <tableColumns count="1">
    <tableColumn id="1" xr3:uid="{24B52163-08A2-4AED-A4AF-D3ED800887CB}" name="E15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1C52359-780B-4089-961F-8185FEBAF5C2}" name="_E158" displayName="_E158" ref="H40:H42" totalsRowShown="0" headerRowDxfId="194" headerRowBorderDxfId="193" tableBorderDxfId="192">
  <autoFilter ref="H40:H42" xr:uid="{01C52359-780B-4089-961F-8185FEBAF5C2}"/>
  <tableColumns count="1">
    <tableColumn id="1" xr3:uid="{43246842-31DE-4036-9CD8-51044689A0FA}" name="E15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D9AB877-25B2-49DA-942F-E98A7B1CD994}" name="_E164" displayName="_E164" ref="I40:I42" totalsRowShown="0" headerRowDxfId="191" headerRowBorderDxfId="190" tableBorderDxfId="189">
  <autoFilter ref="I40:I42" xr:uid="{5D9AB877-25B2-49DA-942F-E98A7B1CD994}"/>
  <tableColumns count="1">
    <tableColumn id="1" xr3:uid="{FFBC4E0D-CB45-437C-B3CA-4965B0339C56}" name="E1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A05B6E6-6768-4DC9-94EE-575B54E91B0C}" name="_E170" displayName="_E170" ref="J40:J42" totalsRowShown="0" headerRowDxfId="188" headerRowBorderDxfId="187" tableBorderDxfId="186">
  <autoFilter ref="J40:J42" xr:uid="{2A05B6E6-6768-4DC9-94EE-575B54E91B0C}"/>
  <tableColumns count="1">
    <tableColumn id="1" xr3:uid="{CF1C8F53-2D70-47AB-8CB2-E725BFFB454B}" name="E17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54BE440D-1A65-4CDC-8304-8C698001196F}" name="_E176" displayName="_E176" ref="K40:K42" totalsRowShown="0" headerRowDxfId="185" headerRowBorderDxfId="184" tableBorderDxfId="183">
  <autoFilter ref="K40:K42" xr:uid="{54BE440D-1A65-4CDC-8304-8C698001196F}"/>
  <tableColumns count="1">
    <tableColumn id="1" xr3:uid="{89123E5C-A8DA-4EAD-921B-5EE5DD5E5899}" name="E17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BA762AB6-8682-43CD-A07C-595107671E23}" name="_E182" displayName="_E182" ref="L40:L42" totalsRowShown="0" headerRowDxfId="182" headerRowBorderDxfId="181" tableBorderDxfId="180">
  <autoFilter ref="L40:L42" xr:uid="{BA762AB6-8682-43CD-A07C-595107671E23}"/>
  <tableColumns count="1">
    <tableColumn id="1" xr3:uid="{C08E5964-4C72-4ACA-8C07-EC9AEE9D6F09}" name="E18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DB163A86-4456-4E9D-A6DC-3682180AC64D}" name="_E202" displayName="_E202" ref="M40:M42" totalsRowShown="0" headerRowDxfId="179" headerRowBorderDxfId="178" tableBorderDxfId="177">
  <autoFilter ref="M40:M42" xr:uid="{DB163A86-4456-4E9D-A6DC-3682180AC64D}"/>
  <tableColumns count="1">
    <tableColumn id="1" xr3:uid="{C180A097-633C-4C9A-A4DD-82BE7F4CE070}" name="E20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5C781DC-98B2-4BEA-ACE5-50ACFA09B2B5}" name="_E208" displayName="_E208" ref="N40:N42" totalsRowShown="0" headerRowDxfId="176" headerRowBorderDxfId="175" tableBorderDxfId="174">
  <autoFilter ref="N40:N42" xr:uid="{55C781DC-98B2-4BEA-ACE5-50ACFA09B2B5}"/>
  <tableColumns count="1">
    <tableColumn id="1" xr3:uid="{51ED7E4C-09EA-4342-B080-7ADDE32FD6CB}" name="E20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C3CCEEAE-3A41-4487-ABBD-7C6C55FE240E}" name="_E214" displayName="_E214" ref="O40:O42" totalsRowShown="0" headerRowDxfId="173" headerRowBorderDxfId="172" tableBorderDxfId="171">
  <autoFilter ref="O40:O42" xr:uid="{C3CCEEAE-3A41-4487-ABBD-7C6C55FE240E}"/>
  <tableColumns count="1">
    <tableColumn id="1" xr3:uid="{A82EBCD2-C780-4646-8B73-C326C61BB057}" name="E21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DA4D51C-26B7-4C3B-96DE-44CA707E0C59}" name="_E220" displayName="_E220" ref="P40:P42" totalsRowShown="0" headerRowDxfId="170" headerRowBorderDxfId="169" tableBorderDxfId="168">
  <autoFilter ref="P40:P42" xr:uid="{CDA4D51C-26B7-4C3B-96DE-44CA707E0C59}"/>
  <tableColumns count="1">
    <tableColumn id="1" xr3:uid="{29443036-D0C1-44B8-96B3-03E655AE8C1D}" name="E22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A1B189A-63D0-4EE7-81C7-A503A8CF096B}" name="_E226" displayName="_E226" ref="Q40:Q42" totalsRowShown="0" headerRowDxfId="167" headerRowBorderDxfId="166" tableBorderDxfId="165">
  <autoFilter ref="Q40:Q42" xr:uid="{8A1B189A-63D0-4EE7-81C7-A503A8CF096B}"/>
  <tableColumns count="1">
    <tableColumn id="1" xr3:uid="{B18FD179-A6B0-4A19-BA14-A467D584C08E}" name="E22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56097CA5-5CBD-4FCE-81AB-4AE8C85EB27E}" name="_E232" displayName="_E232" ref="R40:R42" totalsRowShown="0" headerRowDxfId="164" headerRowBorderDxfId="163" tableBorderDxfId="162">
  <autoFilter ref="R40:R42" xr:uid="{56097CA5-5CBD-4FCE-81AB-4AE8C85EB27E}"/>
  <tableColumns count="1">
    <tableColumn id="1" xr3:uid="{DE0BA346-6781-4CF1-8562-2AF62304E3CD}" name="E23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FFC6BBEF-C73B-4551-9FDA-623C99F8A43C}" name="_E252" displayName="_E252" ref="S40:S42" totalsRowShown="0" headerRowDxfId="161" headerRowBorderDxfId="160" tableBorderDxfId="159">
  <autoFilter ref="S40:S42" xr:uid="{FFC6BBEF-C73B-4551-9FDA-623C99F8A43C}"/>
  <tableColumns count="1">
    <tableColumn id="1" xr3:uid="{DF163C5B-7A0F-457C-A9B4-7E8FB649D865}" name="E25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C2DBB4E-925E-4FDC-AA8D-C5E07E1000C5}" name="_E258" displayName="_E258" ref="T40:T42" totalsRowShown="0" headerRowDxfId="158" headerRowBorderDxfId="157" tableBorderDxfId="156">
  <autoFilter ref="T40:T42" xr:uid="{FC2DBB4E-925E-4FDC-AA8D-C5E07E1000C5}"/>
  <tableColumns count="1">
    <tableColumn id="1" xr3:uid="{4E3E26DC-16D9-414E-BE24-E153D4265F42}" name="E25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FDC023B-843C-41FB-8B35-30053FDC0F9E}" name="_E264" displayName="_E264" ref="U40:U42" totalsRowShown="0" headerRowDxfId="155" headerRowBorderDxfId="154" tableBorderDxfId="153">
  <autoFilter ref="U40:U42" xr:uid="{0FDC023B-843C-41FB-8B35-30053FDC0F9E}"/>
  <tableColumns count="1">
    <tableColumn id="1" xr3:uid="{C2D715F4-DC95-4578-B39C-685ABC7CC57F}" name="E26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6F801A9-B2EE-4D51-B7E2-BFB959A133EA}" name="_E270" displayName="_E270" ref="V40:V42" totalsRowShown="0" headerRowDxfId="152" headerRowBorderDxfId="151" tableBorderDxfId="150">
  <autoFilter ref="V40:V42" xr:uid="{46F801A9-B2EE-4D51-B7E2-BFB959A133EA}"/>
  <tableColumns count="1">
    <tableColumn id="1" xr3:uid="{581A7ADB-C3ED-44CF-803F-3B7EDB1F54AC}" name="E27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EA914C4-C79A-471B-9B6B-3FEE26D25651}" name="_E276" displayName="_E276" ref="W40:W42" totalsRowShown="0" headerRowDxfId="149" headerRowBorderDxfId="148" tableBorderDxfId="147">
  <autoFilter ref="W40:W42" xr:uid="{9EA914C4-C79A-471B-9B6B-3FEE26D25651}"/>
  <tableColumns count="1">
    <tableColumn id="1" xr3:uid="{1F27A269-D899-4457-8255-A7F86B47889F}" name="E276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A78ED77B-87F2-4EF6-8BB3-B5E8177874CA}" name="_E282" displayName="_E282" ref="X40:X42" totalsRowShown="0" headerRowDxfId="146" headerRowBorderDxfId="145" tableBorderDxfId="144">
  <autoFilter ref="X40:X42" xr:uid="{A78ED77B-87F2-4EF6-8BB3-B5E8177874CA}"/>
  <tableColumns count="1">
    <tableColumn id="1" xr3:uid="{F070F6C3-6507-47C2-BD36-E59CB53F0D64}" name="E28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E607B9ED-7E8D-4E39-BF24-EB3110DC15C6}" name="_E302" displayName="_E302" ref="Y40:Y42" totalsRowShown="0" headerRowDxfId="143" headerRowBorderDxfId="142" tableBorderDxfId="141">
  <autoFilter ref="Y40:Y42" xr:uid="{E607B9ED-7E8D-4E39-BF24-EB3110DC15C6}"/>
  <tableColumns count="1">
    <tableColumn id="1" xr3:uid="{CCDA7167-34B5-4541-BAB9-CBF0884E4712}" name="E30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F92189D6-8FAB-4EA4-BB79-DD465F0E1FC4}" name="_E308" displayName="_E308" ref="Z40:Z42" totalsRowShown="0" headerRowDxfId="140" headerRowBorderDxfId="139" tableBorderDxfId="138">
  <autoFilter ref="Z40:Z42" xr:uid="{F92189D6-8FAB-4EA4-BB79-DD465F0E1FC4}"/>
  <tableColumns count="1">
    <tableColumn id="1" xr3:uid="{24A01368-CEC2-4B0B-99E8-053BB7069D62}" name="E30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BC246179-A796-4D8D-85B0-8CC2A9B5460C}" name="_E314" displayName="_E314" ref="AA40:AA42" totalsRowShown="0" headerRowDxfId="137" headerRowBorderDxfId="136" tableBorderDxfId="135">
  <autoFilter ref="AA40:AA42" xr:uid="{BC246179-A796-4D8D-85B0-8CC2A9B5460C}"/>
  <tableColumns count="1">
    <tableColumn id="1" xr3:uid="{0B107A3F-912F-4EB8-B7C6-AC864BB08305}" name="E31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7507D58-B847-4543-9572-96933C67574B}" name="_E320" displayName="_E320" ref="AB40:AB42" totalsRowShown="0" headerRowDxfId="134" headerRowBorderDxfId="133" tableBorderDxfId="132">
  <autoFilter ref="AB40:AB42" xr:uid="{97507D58-B847-4543-9572-96933C67574B}"/>
  <tableColumns count="1">
    <tableColumn id="1" xr3:uid="{6E1E49D1-3F02-46FD-9E3C-7634ACBC2FF2}" name="E32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4323593B-99EF-4CA9-B819-DF3241BE44DE}" name="_E326" displayName="_E326" ref="AC40:AC42" totalsRowShown="0" headerRowDxfId="131" headerRowBorderDxfId="130" tableBorderDxfId="129">
  <autoFilter ref="AC40:AC42" xr:uid="{4323593B-99EF-4CA9-B819-DF3241BE44DE}"/>
  <tableColumns count="1">
    <tableColumn id="1" xr3:uid="{4DECC554-87B3-48EE-9224-6165C09AE541}" name="E32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6A428E62-CDB8-4264-A6D3-6CCDF9F3765F}" name="_E332" displayName="_E332" ref="AD40:AD42" totalsRowShown="0" headerRowDxfId="128" headerRowBorderDxfId="127" tableBorderDxfId="126">
  <autoFilter ref="AD40:AD42" xr:uid="{6A428E62-CDB8-4264-A6D3-6CCDF9F3765F}"/>
  <tableColumns count="1">
    <tableColumn id="1" xr3:uid="{CB5FD08B-FDF7-4A3A-9C1A-AEC23F4157EA}" name="E33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696BE4D1-F899-41FB-90D4-F7DD6C12DD77}" name="_E352" displayName="_E352" ref="AE40:AE42" totalsRowShown="0" headerRowDxfId="125" headerRowBorderDxfId="124" tableBorderDxfId="123">
  <autoFilter ref="AE40:AE42" xr:uid="{696BE4D1-F899-41FB-90D4-F7DD6C12DD77}"/>
  <tableColumns count="1">
    <tableColumn id="1" xr3:uid="{1B34027F-9D2C-46F1-973F-7D7E06161DEC}" name="E352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F110958-A98C-49FF-BEC0-6E09DCC66BEB}" name="_E358" displayName="_E358" ref="AF40:AF42" totalsRowShown="0" headerRowDxfId="122" headerRowBorderDxfId="121" tableBorderDxfId="120">
  <autoFilter ref="AF40:AF42" xr:uid="{2F110958-A98C-49FF-BEC0-6E09DCC66BEB}"/>
  <tableColumns count="1">
    <tableColumn id="1" xr3:uid="{08DE1975-4CD1-4DFF-9CDC-BDABE96ABF62}" name="E35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E763D2CF-C537-440E-8770-532012A26A61}" name="_E364" displayName="_E364" ref="AG40:AG42" totalsRowShown="0" headerRowDxfId="119" headerRowBorderDxfId="118" tableBorderDxfId="117">
  <autoFilter ref="AG40:AG42" xr:uid="{E763D2CF-C537-440E-8770-532012A26A61}"/>
  <tableColumns count="1">
    <tableColumn id="1" xr3:uid="{2FA5A5D6-9FE9-4C7A-85E3-2DE70D6DEDC9}" name="E364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31BEB3F-743A-4A99-A834-93096BCB4B05}" name="_E370" displayName="_E370" ref="AH40:AH42" totalsRowShown="0" headerRowDxfId="116" headerRowBorderDxfId="115" tableBorderDxfId="114">
  <autoFilter ref="AH40:AH42" xr:uid="{231BEB3F-743A-4A99-A834-93096BCB4B05}"/>
  <tableColumns count="1">
    <tableColumn id="1" xr3:uid="{FE9B4231-59E6-45D7-8DB0-673320AAD477}" name="E37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A5D6CB7-B54E-44AE-86CC-27CBE22D6604}" name="_E376" displayName="_E376" ref="AI40:AI42" totalsRowShown="0" headerRowDxfId="113" headerRowBorderDxfId="112" tableBorderDxfId="111">
  <autoFilter ref="AI40:AI42" xr:uid="{DA5D6CB7-B54E-44AE-86CC-27CBE22D6604}"/>
  <tableColumns count="1">
    <tableColumn id="1" xr3:uid="{9B636089-8B27-4F87-981A-93454613D207}" name="E376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96A2ED09-7620-4565-A496-7DBD32BCD988}" name="_E382" displayName="_E382" ref="AJ40:AJ42" totalsRowShown="0" headerRowDxfId="110" headerRowBorderDxfId="109" tableBorderDxfId="108">
  <autoFilter ref="AJ40:AJ42" xr:uid="{96A2ED09-7620-4565-A496-7DBD32BCD988}"/>
  <tableColumns count="1">
    <tableColumn id="1" xr3:uid="{D630AD5C-FE37-43FF-91FC-8F81D76AAE0D}" name="E382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28BC2CC9-0CCA-48E4-9A99-EFEA4E26033F}" name="IOType" displayName="IOType" ref="A59:A62" totalsRowShown="0">
  <autoFilter ref="A59:A62" xr:uid="{28BC2CC9-0CCA-48E4-9A99-EFEA4E26033F}"/>
  <tableColumns count="1">
    <tableColumn id="1" xr3:uid="{2C2A5ADC-0BE6-4D1B-B808-8742810BA8C1}" name="IOType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6301F325-3FA7-4BBD-A687-46BFBB197146}" name="IOType90" displayName="IOType90" ref="A64:A67" totalsRowShown="0">
  <autoFilter ref="A64:A67" xr:uid="{6301F325-3FA7-4BBD-A687-46BFBB197146}"/>
  <tableColumns count="1">
    <tableColumn id="1" xr3:uid="{03E2CB62-7A33-457F-930F-49D3BF35FA0D}" name="Answer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2C0912A-F19A-4A23-81BD-29FD9A412C41}" name="_480CblLgth" displayName="_480CblLgth" ref="D2:D102" totalsRowShown="0" headerRowDxfId="97" dataDxfId="95" headerRowBorderDxfId="96">
  <autoFilter ref="D2:D102" xr:uid="{92C0912A-F19A-4A23-81BD-29FD9A412C41}"/>
  <tableColumns count="1">
    <tableColumn id="1" xr3:uid="{9BB29F94-EE48-4348-8BAE-1D54087C0F91}" name="480 Cable Length" dataDxfId="94"/>
  </tableColumns>
  <tableStyleInfo name="TableStyleMedium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A7F749C-2AA5-4381-B680-1468A8FC685E}" name="_480CblPart" displayName="_480CblPart" ref="E2:F102" totalsRowShown="0" headerRowDxfId="93" dataDxfId="91" headerRowBorderDxfId="92">
  <autoFilter ref="E2:F102" xr:uid="{CA7F749C-2AA5-4381-B680-1468A8FC685E}"/>
  <tableColumns count="2">
    <tableColumn id="1" xr3:uid="{E3CA233C-B2F7-42FE-972C-900AD397B986}" name="480 Cable Part Number" dataDxfId="90"/>
    <tableColumn id="2" xr3:uid="{10BC916F-B8B2-459E-875A-026A07E29545}" name="Quantities" dataDxfId="89">
      <calculatedColumnFormula>IF(_480CblLgth[[#This Row],[480 Cable Length]]="","",COUNTIF('480v Power'!$D$14:$EZ$50000,_480CblLgth[[#This Row],[480 Cable Length]]))</calculatedColumnFormula>
    </tableColumn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39DF1ED-5362-490E-AB1B-7561AE1362E2}" name="_480Dev" displayName="_480Dev" ref="H2:H102" totalsRowShown="0" headerRowDxfId="88" dataDxfId="86" headerRowBorderDxfId="87">
  <autoFilter ref="H2:H102" xr:uid="{139DF1ED-5362-490E-AB1B-7561AE1362E2}"/>
  <tableColumns count="1">
    <tableColumn id="1" xr3:uid="{2F6FDA05-1461-46B4-B35D-E9B308353282}" name="480 Device" dataDxfId="85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6BDF3AC-4025-40DA-857B-7804426D757F}" name="_480DevPart" displayName="_480DevPart" ref="I2:J102" totalsRowShown="0" headerRowDxfId="84" dataDxfId="82" headerRowBorderDxfId="83">
  <autoFilter ref="I2:J102" xr:uid="{26BDF3AC-4025-40DA-857B-7804426D757F}"/>
  <tableColumns count="2">
    <tableColumn id="1" xr3:uid="{F6DEE6B3-7ED7-49EC-B67D-9976A826B241}" name="480 Device Part Number" dataDxfId="81"/>
    <tableColumn id="2" xr3:uid="{E2C56F2D-2532-4107-8007-63DEF6FA5C6A}" name="Quantities" dataDxfId="80">
      <calculatedColumnFormula>IF(_480Dev[[#This Row],[480 Device]]="","",COUNTIF('480v Power'!$D$14:$EZ$50000,_480Dev[[#This Row],[480 Device]]))</calculatedColumnFormula>
    </tableColumn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A388D0B-3FD5-4ADB-98B7-2E8F1D17D3AB}" name="_120CblLgth" displayName="_120CblLgth" ref="L2:L102" totalsRowShown="0" headerRowDxfId="79" dataDxfId="77" headerRowBorderDxfId="78">
  <autoFilter ref="L2:L102" xr:uid="{CA388D0B-3FD5-4ADB-98B7-2E8F1D17D3AB}"/>
  <tableColumns count="1">
    <tableColumn id="1" xr3:uid="{3949ED09-27FA-4196-9392-94CD02F19DC0}" name="120 Cable Length" dataDxfId="76"/>
  </tableColumns>
  <tableStyleInfo name="TableStyleMedium5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7E55691-76A6-4CB9-8F33-8E2B91909E66}" name="_120CblPart" displayName="_120CblPart" ref="M2:N102" totalsRowShown="0" headerRowDxfId="75" dataDxfId="73" headerRowBorderDxfId="74">
  <autoFilter ref="M2:N102" xr:uid="{97E55691-76A6-4CB9-8F33-8E2B91909E66}"/>
  <tableColumns count="2">
    <tableColumn id="1" xr3:uid="{A925C507-3105-4D15-AC53-374731E4FB49}" name="120 Cable Part Number" dataDxfId="72"/>
    <tableColumn id="2" xr3:uid="{0DF46431-C5FE-4451-8BC4-747069379730}" name="Quantities" dataDxfId="71">
      <calculatedColumnFormula>IF(_120CblLgth[[#This Row],[120 Cable Length]]="","",COUNTIF('120v Power'!$B$14:$EZ$50000,_120CblLgth[[#This Row],[120 Cable Length]]))</calculatedColumnFormula>
    </tableColumn>
  </tableColumns>
  <tableStyleInfo name="TableStyleMedium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F5FCA85-F112-4284-9DCC-2626BD3BDC52}" name="_120Dev" displayName="_120Dev" ref="P2:P102" totalsRowShown="0" headerRowDxfId="70" dataDxfId="68" headerRowBorderDxfId="69">
  <autoFilter ref="P2:P102" xr:uid="{8F5FCA85-F112-4284-9DCC-2626BD3BDC52}"/>
  <tableColumns count="1">
    <tableColumn id="1" xr3:uid="{AC2D468E-14F8-49B2-B228-86650BB74B1D}" name="120 Device" dataDxfId="67"/>
  </tableColumns>
  <tableStyleInfo name="TableStyleMedium5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6FAA01AA-768C-48DA-9BB8-FCC10D0F3467}" name="_120DevPart" displayName="_120DevPart" ref="Q2:R102" totalsRowShown="0" headerRowDxfId="66" dataDxfId="64" headerRowBorderDxfId="65">
  <autoFilter ref="Q2:R102" xr:uid="{6FAA01AA-768C-48DA-9BB8-FCC10D0F3467}"/>
  <tableColumns count="2">
    <tableColumn id="1" xr3:uid="{6D2DAB00-DE51-4053-8CAB-E3A83C77FC83}" name="120 Device Part Number" dataDxfId="63"/>
    <tableColumn id="2" xr3:uid="{A3A71BFA-BA6D-4126-A0B6-4F808CA6057D}" name="Quantities" dataDxfId="62">
      <calculatedColumnFormula>IF(_120Dev[[#This Row],[120 Device]]="","",COUNTIF('120v Power'!$B$14:$EZ$50000,_120Dev[[#This Row],[120 Device]]))</calculatedColumnFormula>
    </tableColumn>
  </tableColumns>
  <tableStyleInfo name="TableStyleMedium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5620B8-6BB8-4EC2-9491-85DEEF60A380}" name="_24CblLgth" displayName="_24CblLgth" ref="T2:T102" totalsRowShown="0" headerRowDxfId="61" dataDxfId="59" headerRowBorderDxfId="60">
  <autoFilter ref="T2:T102" xr:uid="{005620B8-6BB8-4EC2-9491-85DEEF60A380}"/>
  <tableColumns count="1">
    <tableColumn id="1" xr3:uid="{C803D7F5-C451-4D04-8EEE-313B3B5E79AA}" name="24 Cable Length" dataDxfId="58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A70653-2CFF-42CF-9FA4-3D7F1E8E50DB}" name="_24CblPart" displayName="_24CblPart" ref="U2:V102" totalsRowShown="0" headerRowDxfId="57" dataDxfId="55" headerRowBorderDxfId="56">
  <autoFilter ref="U2:V102" xr:uid="{EAA70653-2CFF-42CF-9FA4-3D7F1E8E50DB}"/>
  <tableColumns count="2">
    <tableColumn id="1" xr3:uid="{ED83F462-A9FC-4F60-B2EC-595196D6CC28}" name="24 Cable Part Number" dataDxfId="54"/>
    <tableColumn id="2" xr3:uid="{338181BB-0B6A-4A8D-8036-F159E4341D78}" name="Quantities" dataDxfId="53">
      <calculatedColumnFormula>IF(_24CblLgth[[#This Row],[24 Cable Length]]="","",COUNTIF('24v Power'!$B$14:$EZ$50000,_24CblLgth[[#This Row],[24 Cable Length]]))</calculatedColumnFormula>
    </tableColumn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F8CC5C4-31E1-4568-BF45-01D86669148E}" name="_24Dev" displayName="_24Dev" ref="X2:X102" totalsRowShown="0" headerRowDxfId="52" dataDxfId="50" headerRowBorderDxfId="51">
  <autoFilter ref="X2:X102" xr:uid="{1F8CC5C4-31E1-4568-BF45-01D86669148E}"/>
  <tableColumns count="1">
    <tableColumn id="1" xr3:uid="{18FCFC4F-D23B-4222-9302-835CEBF566E0}" name="24 Device" dataDxfId="49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BBC6454-AA05-4C9A-9EC4-32D036097ADF}" name="_24DevPart" displayName="_24DevPart" ref="Y2:Z102" totalsRowShown="0" headerRowDxfId="48" dataDxfId="46" headerRowBorderDxfId="47">
  <autoFilter ref="Y2:Z102" xr:uid="{0BBC6454-AA05-4C9A-9EC4-32D036097ADF}"/>
  <tableColumns count="2">
    <tableColumn id="1" xr3:uid="{8523594A-95B3-467C-8218-263764FEAF57}" name="24 Device Part Number" dataDxfId="45"/>
    <tableColumn id="2" xr3:uid="{5DD531EC-1054-49C9-ABC1-AF242DC595D8}" name="Quantities" dataDxfId="44">
      <calculatedColumnFormula>IF(_24Dev[[#This Row],[24 Device]]="","",COUNTIF('24v Power'!$B$14:$EZ$50000,_24Dev[[#This Row],[24 Device]]))</calculatedColumnFormula>
    </tableColumn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57DC99C-A13A-4B77-96A0-324C429A456E}" name="_ENetCblLgth" displayName="_ENetCblLgth" ref="AB2:AB102" totalsRowShown="0" headerRowDxfId="43" dataDxfId="41" headerRowBorderDxfId="42">
  <autoFilter ref="AB2:AB102" xr:uid="{A57DC99C-A13A-4B77-96A0-324C429A456E}"/>
  <tableColumns count="1">
    <tableColumn id="1" xr3:uid="{5C3686DF-63C3-4A00-ABF3-F26804269BED}" name="ENet Cable Length" dataDxfId="40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93E9398-3843-48F9-9F50-7854220DD4A7}" name="_ENetCblPart" displayName="_ENetCblPart" ref="AC2:AD102" totalsRowShown="0" headerRowDxfId="39" dataDxfId="37" headerRowBorderDxfId="38">
  <autoFilter ref="AC2:AD102" xr:uid="{493E9398-3843-48F9-9F50-7854220DD4A7}"/>
  <tableColumns count="2">
    <tableColumn id="1" xr3:uid="{25D38FDA-9145-4036-BCD5-28FD899B0130}" name="ENet Cable Part Number" dataDxfId="36"/>
    <tableColumn id="2" xr3:uid="{94543DC5-735D-4E30-9C77-EAF8C07CB631}" name="Quantities" dataDxfId="35">
      <calculatedColumnFormula>IF(_ENetCblLgth[[#This Row],[ENet Cable Length]]="","",COUNTIF(Ethernet!$C$14:$EZ$50000,_ENetCblLgth[[#This Row],[ENet Cable Length]]))</calculatedColumnFormula>
    </tableColumn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1480B6B-455E-49C1-AD5C-548FB43231A2}" name="_ENetDev" displayName="_ENetDev" ref="AF2:AF102" totalsRowShown="0" headerRowDxfId="34" dataDxfId="32" headerRowBorderDxfId="33">
  <autoFilter ref="AF2:AF102" xr:uid="{F1480B6B-455E-49C1-AD5C-548FB43231A2}"/>
  <tableColumns count="1">
    <tableColumn id="1" xr3:uid="{11BE8335-9D62-4172-9DD6-ADD68ED50762}" name="ENet Device" dataDxfId="31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8ED842B8-2B70-4C29-AA9B-4F8218E68F55}" name="_ENetDev80" displayName="_ENetDev80" ref="A2:B102" totalsRowShown="0" headerRowDxfId="30" dataDxfId="29">
  <autoFilter ref="A2:B102" xr:uid="{8ED842B8-2B70-4C29-AA9B-4F8218E68F55}"/>
  <tableColumns count="2">
    <tableColumn id="1" xr3:uid="{B5E9E12C-6775-4126-A5C7-257E60B4C829}" name="EC / ECS Panels" dataDxfId="28"/>
    <tableColumn id="3" xr3:uid="{C231AE73-2E7A-417B-878A-0F563ADCCE05}" name="Description" dataDxfId="27"/>
  </tableColumns>
  <tableStyleInfo name="TableStyleMedium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31D6250-9557-4ED2-8E83-B580779265AB}" name="_IOCblLgth" displayName="_IOCblLgth" ref="AH2:AH102" totalsRowShown="0" headerRowDxfId="26" dataDxfId="24" headerRowBorderDxfId="25">
  <autoFilter ref="AH2:AH102" xr:uid="{831D6250-9557-4ED2-8E83-B580779265AB}"/>
  <tableColumns count="1">
    <tableColumn id="1" xr3:uid="{4B12D6C8-D844-487B-9BC8-0389732BF21E}" name="IO Cable Length" dataDxfId="23"/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E9C4CD1-65DD-4AC9-AAB4-3E80537645D1}" name="_IOCblPart" displayName="_IOCblPart" ref="AI2:AJ102" totalsRowShown="0" headerRowDxfId="22" dataDxfId="20" headerRowBorderDxfId="21">
  <autoFilter ref="AI2:AJ102" xr:uid="{1E9C4CD1-65DD-4AC9-AAB4-3E80537645D1}"/>
  <tableColumns count="2">
    <tableColumn id="1" xr3:uid="{D9F2EA8E-69FF-4050-9051-770CC87A6B0B}" name="IO Cable Part Number" dataDxfId="19"/>
    <tableColumn id="2" xr3:uid="{746AEB66-0015-4A55-8031-49A6C1772702}" name="Quantities" dataDxfId="18">
      <calculatedColumnFormula>IF(_IOCblLgth[[#This Row],[IO Cable Length]]="","",COUNTIF(('Safety IO'!$C$12:$EZ$50000),_IOCblLgth[[#This Row],[IO Cable Length]])+COUNTIF(('Standard IO'!$C$12:$EZ$49995),_IOCblLgth[[#This Row],[IO Cable Length]]))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F8635C8-FC16-42DC-AFB6-4429B6C29BDF}" name="_SafeIODev" displayName="_SafeIODev" ref="AL2:AL102" totalsRowShown="0" headerRowDxfId="17" dataDxfId="15" headerRowBorderDxfId="16">
  <autoFilter ref="AL2:AL102" xr:uid="{1F8635C8-FC16-42DC-AFB6-4429B6C29BDF}"/>
  <tableColumns count="1">
    <tableColumn id="1" xr3:uid="{175A9B6D-D01F-4358-A381-D9C33F7D0EBF}" name="Safe IO Device" dataDxfId="14"/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B8E8506-12B6-4752-9C2C-01B5599AB580}" name="_SafeIODevPart" displayName="_SafeIODevPart" ref="AM2:AN102" totalsRowShown="0" headerRowDxfId="13" dataDxfId="11" headerRowBorderDxfId="12">
  <autoFilter ref="AM2:AN102" xr:uid="{5B8E8506-12B6-4752-9C2C-01B5599AB580}"/>
  <tableColumns count="2">
    <tableColumn id="1" xr3:uid="{4A4EC84E-ADC4-4D2A-AF93-7FA833219D10}" name="Safe IO Device Part Number" dataDxfId="10"/>
    <tableColumn id="2" xr3:uid="{787EA4A2-3388-463A-8492-4056F87CDEE4}" name="Quantities" dataDxfId="9">
      <calculatedColumnFormula>IF(_SafeIODev[[#This Row],[Safe IO Device]]="","",COUNTIF('Safety IO'!$C$12:$EZ$50000,_SafeIODev[[#This Row],[Safe IO Device]]))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57DDA53D-9059-4FCF-BB4A-FD791BDB4EB3}" name="_IODev" displayName="_IODev" ref="AP2:AP102" totalsRowShown="0" headerRowDxfId="8" dataDxfId="6" headerRowBorderDxfId="7">
  <autoFilter ref="AP2:AP102" xr:uid="{57DDA53D-9059-4FCF-BB4A-FD791BDB4EB3}"/>
  <tableColumns count="1">
    <tableColumn id="1" xr3:uid="{C2626DB1-1968-4D8B-9C2C-52D31DA85805}" name="IO Device" dataDxfId="5"/>
  </tableColumns>
  <tableStyleInfo name="TableStyleMedium8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0636993-85DA-4FE8-8F29-26B074E15AED}" name="_IODevPart" displayName="_IODevPart" ref="AQ2:AR102" totalsRowShown="0" headerRowDxfId="4" dataDxfId="2" headerRowBorderDxfId="3">
  <autoFilter ref="AQ2:AR102" xr:uid="{50636993-85DA-4FE8-8F29-26B074E15AED}"/>
  <tableColumns count="2">
    <tableColumn id="1" xr3:uid="{C734B14E-B7E2-4BB3-9EFC-0BBB408C8076}" name="IO Device Part Number" dataDxfId="1"/>
    <tableColumn id="2" xr3:uid="{B6B48140-881D-4027-A064-F557C8538747}" name="Quantities" dataDxfId="0">
      <calculatedColumnFormula>IF(_IODev[[#This Row],[IO Device]]="","",COUNTIF('Standard IO'!$C$12:$EZ$49995,_IODev[[#This Row],[IO Device]]))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9" Type="http://schemas.openxmlformats.org/officeDocument/2006/relationships/table" Target="../tables/table38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34" Type="http://schemas.openxmlformats.org/officeDocument/2006/relationships/table" Target="../tables/table33.xml"/><Relationship Id="rId42" Type="http://schemas.openxmlformats.org/officeDocument/2006/relationships/table" Target="../tables/table41.xml"/><Relationship Id="rId47" Type="http://schemas.openxmlformats.org/officeDocument/2006/relationships/table" Target="../tables/table46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33" Type="http://schemas.openxmlformats.org/officeDocument/2006/relationships/table" Target="../tables/table32.xml"/><Relationship Id="rId38" Type="http://schemas.openxmlformats.org/officeDocument/2006/relationships/table" Target="../tables/table37.xml"/><Relationship Id="rId46" Type="http://schemas.openxmlformats.org/officeDocument/2006/relationships/table" Target="../tables/table45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41" Type="http://schemas.openxmlformats.org/officeDocument/2006/relationships/table" Target="../tables/table40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32" Type="http://schemas.openxmlformats.org/officeDocument/2006/relationships/table" Target="../tables/table31.xml"/><Relationship Id="rId37" Type="http://schemas.openxmlformats.org/officeDocument/2006/relationships/table" Target="../tables/table36.xml"/><Relationship Id="rId40" Type="http://schemas.openxmlformats.org/officeDocument/2006/relationships/table" Target="../tables/table39.xml"/><Relationship Id="rId45" Type="http://schemas.openxmlformats.org/officeDocument/2006/relationships/table" Target="../tables/table44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36" Type="http://schemas.openxmlformats.org/officeDocument/2006/relationships/table" Target="../tables/table35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31" Type="http://schemas.openxmlformats.org/officeDocument/2006/relationships/table" Target="../tables/table30.xml"/><Relationship Id="rId44" Type="http://schemas.openxmlformats.org/officeDocument/2006/relationships/table" Target="../tables/table43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Relationship Id="rId30" Type="http://schemas.openxmlformats.org/officeDocument/2006/relationships/table" Target="../tables/table29.xml"/><Relationship Id="rId35" Type="http://schemas.openxmlformats.org/officeDocument/2006/relationships/table" Target="../tables/table34.xml"/><Relationship Id="rId43" Type="http://schemas.openxmlformats.org/officeDocument/2006/relationships/table" Target="../tables/table42.xml"/><Relationship Id="rId48" Type="http://schemas.openxmlformats.org/officeDocument/2006/relationships/table" Target="../tables/table4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4.xml"/><Relationship Id="rId13" Type="http://schemas.openxmlformats.org/officeDocument/2006/relationships/table" Target="../tables/table59.xml"/><Relationship Id="rId18" Type="http://schemas.openxmlformats.org/officeDocument/2006/relationships/table" Target="../tables/table64.xml"/><Relationship Id="rId3" Type="http://schemas.openxmlformats.org/officeDocument/2006/relationships/table" Target="../tables/table49.xml"/><Relationship Id="rId21" Type="http://schemas.openxmlformats.org/officeDocument/2006/relationships/table" Target="../tables/table67.xml"/><Relationship Id="rId7" Type="http://schemas.openxmlformats.org/officeDocument/2006/relationships/table" Target="../tables/table53.xml"/><Relationship Id="rId12" Type="http://schemas.openxmlformats.org/officeDocument/2006/relationships/table" Target="../tables/table58.xml"/><Relationship Id="rId17" Type="http://schemas.openxmlformats.org/officeDocument/2006/relationships/table" Target="../tables/table63.xml"/><Relationship Id="rId2" Type="http://schemas.openxmlformats.org/officeDocument/2006/relationships/table" Target="../tables/table48.xml"/><Relationship Id="rId16" Type="http://schemas.openxmlformats.org/officeDocument/2006/relationships/table" Target="../tables/table62.xml"/><Relationship Id="rId20" Type="http://schemas.openxmlformats.org/officeDocument/2006/relationships/table" Target="../tables/table6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2.xml"/><Relationship Id="rId11" Type="http://schemas.openxmlformats.org/officeDocument/2006/relationships/table" Target="../tables/table57.xml"/><Relationship Id="rId5" Type="http://schemas.openxmlformats.org/officeDocument/2006/relationships/table" Target="../tables/table51.xml"/><Relationship Id="rId15" Type="http://schemas.openxmlformats.org/officeDocument/2006/relationships/table" Target="../tables/table61.xml"/><Relationship Id="rId23" Type="http://schemas.openxmlformats.org/officeDocument/2006/relationships/table" Target="../tables/table69.xml"/><Relationship Id="rId10" Type="http://schemas.openxmlformats.org/officeDocument/2006/relationships/table" Target="../tables/table56.xml"/><Relationship Id="rId19" Type="http://schemas.openxmlformats.org/officeDocument/2006/relationships/table" Target="../tables/table65.xml"/><Relationship Id="rId4" Type="http://schemas.openxmlformats.org/officeDocument/2006/relationships/table" Target="../tables/table50.xml"/><Relationship Id="rId9" Type="http://schemas.openxmlformats.org/officeDocument/2006/relationships/table" Target="../tables/table55.xml"/><Relationship Id="rId14" Type="http://schemas.openxmlformats.org/officeDocument/2006/relationships/table" Target="../tables/table60.xml"/><Relationship Id="rId22" Type="http://schemas.openxmlformats.org/officeDocument/2006/relationships/table" Target="../tables/table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EFC0-6243-4573-98A3-E87ECEBB0B68}">
  <sheetPr codeName="Sheet6">
    <tabColor rgb="FFFF0000"/>
  </sheetPr>
  <dimension ref="A1:AZ66"/>
  <sheetViews>
    <sheetView showGridLines="0" zoomScale="85" zoomScaleNormal="85" workbookViewId="0">
      <selection activeCell="C77" sqref="C77"/>
    </sheetView>
  </sheetViews>
  <sheetFormatPr defaultRowHeight="14.4" x14ac:dyDescent="0.3"/>
  <cols>
    <col min="1" max="1" width="25.5546875" bestFit="1" customWidth="1"/>
    <col min="2" max="2" width="14.5546875" bestFit="1" customWidth="1"/>
    <col min="3" max="3" width="69.88671875" bestFit="1" customWidth="1"/>
    <col min="4" max="4" width="3.5546875" customWidth="1"/>
    <col min="5" max="5" width="24.5546875" bestFit="1" customWidth="1"/>
    <col min="6" max="6" width="0.6640625" customWidth="1"/>
    <col min="7" max="36" width="12.88671875" bestFit="1" customWidth="1"/>
    <col min="37" max="37" width="8.109375" bestFit="1" customWidth="1"/>
  </cols>
  <sheetData>
    <row r="1" spans="1:52" x14ac:dyDescent="0.3">
      <c r="G1" s="153" t="s">
        <v>147</v>
      </c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4"/>
      <c r="AG1" s="154"/>
      <c r="AH1" s="154"/>
      <c r="AI1" s="154"/>
      <c r="AJ1" s="155"/>
      <c r="AK1" s="153" t="s">
        <v>148</v>
      </c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5"/>
    </row>
    <row r="2" spans="1:52" ht="15" thickBot="1" x14ac:dyDescent="0.35">
      <c r="A2" s="3" t="s">
        <v>125</v>
      </c>
      <c r="B2" s="3" t="s">
        <v>126</v>
      </c>
      <c r="C2" s="3" t="s">
        <v>127</v>
      </c>
      <c r="G2" s="156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8"/>
      <c r="AK2" s="156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8"/>
    </row>
    <row r="3" spans="1:52" ht="18.600000000000001" thickBot="1" x14ac:dyDescent="0.35">
      <c r="A3" t="s">
        <v>88</v>
      </c>
      <c r="B3" t="s">
        <v>100</v>
      </c>
      <c r="C3" t="s">
        <v>75</v>
      </c>
      <c r="E3" t="s">
        <v>100</v>
      </c>
      <c r="G3" s="5" t="s">
        <v>0</v>
      </c>
      <c r="H3" s="5" t="s">
        <v>1</v>
      </c>
      <c r="I3" s="5" t="s">
        <v>2</v>
      </c>
      <c r="J3" s="5" t="s">
        <v>3</v>
      </c>
      <c r="K3" s="5" t="s">
        <v>4</v>
      </c>
      <c r="L3" s="5" t="s">
        <v>5</v>
      </c>
      <c r="M3" s="5" t="s">
        <v>12</v>
      </c>
      <c r="N3" s="5" t="s">
        <v>13</v>
      </c>
      <c r="O3" s="5" t="s">
        <v>14</v>
      </c>
      <c r="P3" s="5" t="s">
        <v>15</v>
      </c>
      <c r="Q3" s="5" t="s">
        <v>16</v>
      </c>
      <c r="R3" s="5" t="s">
        <v>17</v>
      </c>
      <c r="S3" s="5" t="s">
        <v>6</v>
      </c>
      <c r="T3" s="5" t="s">
        <v>7</v>
      </c>
      <c r="U3" s="5" t="s">
        <v>8</v>
      </c>
      <c r="V3" s="5" t="s">
        <v>9</v>
      </c>
      <c r="W3" s="5" t="s">
        <v>10</v>
      </c>
      <c r="X3" s="5" t="s">
        <v>11</v>
      </c>
      <c r="Y3" s="14" t="s">
        <v>118</v>
      </c>
      <c r="Z3" s="14" t="s">
        <v>119</v>
      </c>
      <c r="AA3" s="14" t="s">
        <v>120</v>
      </c>
      <c r="AB3" s="14" t="s">
        <v>121</v>
      </c>
      <c r="AC3" s="14" t="s">
        <v>122</v>
      </c>
      <c r="AD3" s="14" t="s">
        <v>123</v>
      </c>
      <c r="AE3" s="14" t="s">
        <v>114</v>
      </c>
      <c r="AF3" s="14" t="s">
        <v>115</v>
      </c>
      <c r="AG3" s="14" t="s">
        <v>116</v>
      </c>
      <c r="AH3" s="14" t="s">
        <v>117</v>
      </c>
      <c r="AI3" s="14" t="s">
        <v>129</v>
      </c>
      <c r="AJ3" s="14" t="s">
        <v>130</v>
      </c>
      <c r="AK3" s="5" t="s">
        <v>18</v>
      </c>
      <c r="AL3" s="5" t="s">
        <v>19</v>
      </c>
      <c r="AM3" s="5" t="s">
        <v>20</v>
      </c>
      <c r="AN3" s="5" t="s">
        <v>21</v>
      </c>
      <c r="AO3" s="5" t="s">
        <v>22</v>
      </c>
      <c r="AP3" s="5" t="s">
        <v>23</v>
      </c>
      <c r="AQ3" s="5" t="s">
        <v>149</v>
      </c>
      <c r="AR3" s="14" t="s">
        <v>24</v>
      </c>
      <c r="AS3" s="14" t="s">
        <v>25</v>
      </c>
      <c r="AT3" s="14" t="s">
        <v>26</v>
      </c>
      <c r="AU3" s="14" t="s">
        <v>27</v>
      </c>
      <c r="AV3" s="14" t="s">
        <v>28</v>
      </c>
      <c r="AW3" s="14" t="s">
        <v>29</v>
      </c>
      <c r="AX3" s="14" t="s">
        <v>30</v>
      </c>
      <c r="AY3" s="14" t="s">
        <v>31</v>
      </c>
      <c r="AZ3" s="14" t="s">
        <v>32</v>
      </c>
    </row>
    <row r="4" spans="1:52" x14ac:dyDescent="0.3">
      <c r="A4" t="s">
        <v>88</v>
      </c>
      <c r="B4" t="s">
        <v>100</v>
      </c>
      <c r="C4" t="s">
        <v>76</v>
      </c>
      <c r="E4" t="s">
        <v>57</v>
      </c>
      <c r="G4" s="37"/>
      <c r="AJ4" s="41"/>
      <c r="AK4" s="37"/>
      <c r="AR4" t="s">
        <v>128</v>
      </c>
      <c r="AS4" t="s">
        <v>128</v>
      </c>
      <c r="AT4" t="s">
        <v>128</v>
      </c>
      <c r="AU4" t="s">
        <v>128</v>
      </c>
      <c r="AV4" t="s">
        <v>128</v>
      </c>
      <c r="AZ4" s="41"/>
    </row>
    <row r="5" spans="1:52" ht="15" thickBot="1" x14ac:dyDescent="0.35">
      <c r="A5" t="s">
        <v>89</v>
      </c>
      <c r="B5" t="s">
        <v>101</v>
      </c>
      <c r="C5" t="s">
        <v>77</v>
      </c>
      <c r="E5" t="s">
        <v>58</v>
      </c>
      <c r="G5" s="37"/>
      <c r="AJ5" s="41"/>
      <c r="AK5" s="37"/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128</v>
      </c>
      <c r="AZ5" s="41"/>
    </row>
    <row r="6" spans="1:52" ht="18.600000000000001" thickBot="1" x14ac:dyDescent="0.35">
      <c r="A6" t="s">
        <v>90</v>
      </c>
      <c r="B6" t="s">
        <v>102</v>
      </c>
      <c r="C6" t="s">
        <v>78</v>
      </c>
      <c r="E6" t="s">
        <v>101</v>
      </c>
      <c r="G6" s="5" t="s">
        <v>0</v>
      </c>
      <c r="H6" s="5" t="s">
        <v>1</v>
      </c>
      <c r="I6" s="5" t="s">
        <v>2</v>
      </c>
      <c r="J6" s="5" t="s">
        <v>3</v>
      </c>
      <c r="K6" s="5" t="s">
        <v>4</v>
      </c>
      <c r="L6" s="5" t="s">
        <v>5</v>
      </c>
      <c r="M6" s="5" t="s">
        <v>12</v>
      </c>
      <c r="N6" s="5" t="s">
        <v>13</v>
      </c>
      <c r="O6" s="5" t="s">
        <v>14</v>
      </c>
      <c r="P6" s="5" t="s">
        <v>15</v>
      </c>
      <c r="Q6" s="5" t="s">
        <v>16</v>
      </c>
      <c r="R6" s="5" t="s">
        <v>17</v>
      </c>
      <c r="S6" s="5" t="s">
        <v>6</v>
      </c>
      <c r="T6" s="5" t="s">
        <v>7</v>
      </c>
      <c r="U6" s="5" t="s">
        <v>8</v>
      </c>
      <c r="V6" s="5" t="s">
        <v>9</v>
      </c>
      <c r="W6" s="5" t="s">
        <v>10</v>
      </c>
      <c r="X6" s="5" t="s">
        <v>11</v>
      </c>
      <c r="Y6" s="14" t="s">
        <v>118</v>
      </c>
      <c r="Z6" s="14" t="s">
        <v>119</v>
      </c>
      <c r="AA6" s="14" t="s">
        <v>120</v>
      </c>
      <c r="AB6" s="14" t="s">
        <v>121</v>
      </c>
      <c r="AC6" s="14" t="s">
        <v>122</v>
      </c>
      <c r="AD6" s="14" t="s">
        <v>123</v>
      </c>
      <c r="AE6" s="14" t="s">
        <v>114</v>
      </c>
      <c r="AF6" s="14" t="s">
        <v>115</v>
      </c>
      <c r="AG6" s="14" t="s">
        <v>116</v>
      </c>
      <c r="AH6" s="14" t="s">
        <v>117</v>
      </c>
      <c r="AI6" s="14" t="s">
        <v>129</v>
      </c>
      <c r="AJ6" s="14" t="s">
        <v>130</v>
      </c>
      <c r="AK6" s="5" t="s">
        <v>18</v>
      </c>
      <c r="AL6" s="5" t="s">
        <v>19</v>
      </c>
      <c r="AM6" s="5" t="s">
        <v>20</v>
      </c>
      <c r="AN6" s="5" t="s">
        <v>21</v>
      </c>
      <c r="AO6" s="5" t="s">
        <v>22</v>
      </c>
      <c r="AP6" s="5" t="s">
        <v>23</v>
      </c>
      <c r="AQ6" s="5" t="s">
        <v>149</v>
      </c>
      <c r="AR6" s="14" t="s">
        <v>24</v>
      </c>
      <c r="AS6" s="14" t="s">
        <v>25</v>
      </c>
      <c r="AT6" s="14" t="s">
        <v>26</v>
      </c>
      <c r="AU6" s="14" t="s">
        <v>27</v>
      </c>
      <c r="AV6" s="14" t="s">
        <v>28</v>
      </c>
      <c r="AW6" s="14" t="s">
        <v>29</v>
      </c>
      <c r="AX6" s="14" t="s">
        <v>30</v>
      </c>
      <c r="AY6" s="14" t="s">
        <v>31</v>
      </c>
      <c r="AZ6" s="14" t="s">
        <v>32</v>
      </c>
    </row>
    <row r="7" spans="1:52" ht="15" thickBot="1" x14ac:dyDescent="0.35">
      <c r="A7" t="s">
        <v>91</v>
      </c>
      <c r="B7" t="s">
        <v>103</v>
      </c>
      <c r="C7" t="s">
        <v>79</v>
      </c>
      <c r="E7" t="s">
        <v>59</v>
      </c>
      <c r="G7" s="37"/>
      <c r="AJ7" s="41"/>
      <c r="AK7" s="37" t="s">
        <v>128</v>
      </c>
      <c r="AL7" t="s">
        <v>128</v>
      </c>
      <c r="AM7" t="s">
        <v>128</v>
      </c>
      <c r="AN7" t="s">
        <v>128</v>
      </c>
      <c r="AR7" t="s">
        <v>128</v>
      </c>
      <c r="AS7" t="s">
        <v>128</v>
      </c>
      <c r="AT7" t="s">
        <v>128</v>
      </c>
      <c r="AU7" t="s">
        <v>128</v>
      </c>
      <c r="AZ7" s="41"/>
    </row>
    <row r="8" spans="1:52" ht="18.600000000000001" thickBot="1" x14ac:dyDescent="0.35">
      <c r="A8" t="s">
        <v>92</v>
      </c>
      <c r="B8" t="s">
        <v>104</v>
      </c>
      <c r="C8" t="s">
        <v>80</v>
      </c>
      <c r="E8" t="s">
        <v>102</v>
      </c>
      <c r="G8" s="5" t="s">
        <v>0</v>
      </c>
      <c r="H8" s="5" t="s">
        <v>1</v>
      </c>
      <c r="I8" s="5" t="s">
        <v>2</v>
      </c>
      <c r="J8" s="5" t="s">
        <v>3</v>
      </c>
      <c r="K8" s="5" t="s">
        <v>4</v>
      </c>
      <c r="L8" s="5" t="s">
        <v>5</v>
      </c>
      <c r="M8" s="5" t="s">
        <v>12</v>
      </c>
      <c r="N8" s="5" t="s">
        <v>13</v>
      </c>
      <c r="O8" s="5" t="s">
        <v>14</v>
      </c>
      <c r="P8" s="5" t="s">
        <v>15</v>
      </c>
      <c r="Q8" s="5" t="s">
        <v>16</v>
      </c>
      <c r="R8" s="5" t="s">
        <v>17</v>
      </c>
      <c r="S8" s="5" t="s">
        <v>6</v>
      </c>
      <c r="T8" s="5" t="s">
        <v>7</v>
      </c>
      <c r="U8" s="5" t="s">
        <v>8</v>
      </c>
      <c r="V8" s="5" t="s">
        <v>9</v>
      </c>
      <c r="W8" s="5" t="s">
        <v>10</v>
      </c>
      <c r="X8" s="5" t="s">
        <v>11</v>
      </c>
      <c r="Y8" s="14" t="s">
        <v>118</v>
      </c>
      <c r="Z8" s="14" t="s">
        <v>119</v>
      </c>
      <c r="AA8" s="14" t="s">
        <v>120</v>
      </c>
      <c r="AB8" s="14" t="s">
        <v>121</v>
      </c>
      <c r="AC8" s="14" t="s">
        <v>122</v>
      </c>
      <c r="AD8" s="14" t="s">
        <v>123</v>
      </c>
      <c r="AE8" s="14" t="s">
        <v>114</v>
      </c>
      <c r="AF8" s="14" t="s">
        <v>115</v>
      </c>
      <c r="AG8" s="14" t="s">
        <v>116</v>
      </c>
      <c r="AH8" s="14" t="s">
        <v>117</v>
      </c>
      <c r="AI8" s="14" t="s">
        <v>129</v>
      </c>
      <c r="AJ8" s="14" t="s">
        <v>130</v>
      </c>
      <c r="AK8" s="5" t="s">
        <v>18</v>
      </c>
      <c r="AL8" s="5" t="s">
        <v>19</v>
      </c>
      <c r="AM8" s="5" t="s">
        <v>20</v>
      </c>
      <c r="AN8" s="5" t="s">
        <v>21</v>
      </c>
      <c r="AO8" s="5" t="s">
        <v>22</v>
      </c>
      <c r="AP8" s="5" t="s">
        <v>23</v>
      </c>
      <c r="AQ8" s="5" t="s">
        <v>149</v>
      </c>
      <c r="AR8" s="14" t="s">
        <v>24</v>
      </c>
      <c r="AS8" s="14" t="s">
        <v>25</v>
      </c>
      <c r="AT8" s="14" t="s">
        <v>26</v>
      </c>
      <c r="AU8" s="14" t="s">
        <v>27</v>
      </c>
      <c r="AV8" s="14" t="s">
        <v>28</v>
      </c>
      <c r="AW8" s="14" t="s">
        <v>29</v>
      </c>
      <c r="AX8" s="14" t="s">
        <v>30</v>
      </c>
      <c r="AY8" s="14" t="s">
        <v>31</v>
      </c>
      <c r="AZ8" s="14" t="s">
        <v>32</v>
      </c>
    </row>
    <row r="9" spans="1:52" ht="15" thickBot="1" x14ac:dyDescent="0.35">
      <c r="A9" t="s">
        <v>92</v>
      </c>
      <c r="B9" t="s">
        <v>104</v>
      </c>
      <c r="C9" t="s">
        <v>80</v>
      </c>
      <c r="E9" t="s">
        <v>60</v>
      </c>
      <c r="G9" s="37" t="s">
        <v>128</v>
      </c>
      <c r="H9" t="s">
        <v>128</v>
      </c>
      <c r="I9" t="s">
        <v>128</v>
      </c>
      <c r="J9" t="s">
        <v>128</v>
      </c>
      <c r="AJ9" s="41"/>
      <c r="AK9" s="37" t="s">
        <v>128</v>
      </c>
      <c r="AL9" t="s">
        <v>128</v>
      </c>
      <c r="AM9" t="s">
        <v>128</v>
      </c>
      <c r="AN9" t="s">
        <v>128</v>
      </c>
      <c r="AR9" t="s">
        <v>128</v>
      </c>
      <c r="AS9" t="s">
        <v>128</v>
      </c>
      <c r="AT9" t="s">
        <v>128</v>
      </c>
      <c r="AU9" t="s">
        <v>128</v>
      </c>
      <c r="AZ9" s="41"/>
    </row>
    <row r="10" spans="1:52" ht="18.600000000000001" thickBot="1" x14ac:dyDescent="0.35">
      <c r="A10" t="s">
        <v>92</v>
      </c>
      <c r="B10" t="s">
        <v>104</v>
      </c>
      <c r="C10" t="s">
        <v>80</v>
      </c>
      <c r="E10" t="s">
        <v>103</v>
      </c>
      <c r="G10" s="5" t="s">
        <v>0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12</v>
      </c>
      <c r="N10" s="5" t="s">
        <v>13</v>
      </c>
      <c r="O10" s="5" t="s">
        <v>14</v>
      </c>
      <c r="P10" s="5" t="s">
        <v>15</v>
      </c>
      <c r="Q10" s="5" t="s">
        <v>16</v>
      </c>
      <c r="R10" s="5" t="s">
        <v>17</v>
      </c>
      <c r="S10" s="5" t="s">
        <v>6</v>
      </c>
      <c r="T10" s="5" t="s">
        <v>7</v>
      </c>
      <c r="U10" s="5" t="s">
        <v>8</v>
      </c>
      <c r="V10" s="5" t="s">
        <v>9</v>
      </c>
      <c r="W10" s="5" t="s">
        <v>10</v>
      </c>
      <c r="X10" s="5" t="s">
        <v>11</v>
      </c>
      <c r="Y10" s="14" t="s">
        <v>118</v>
      </c>
      <c r="Z10" s="14" t="s">
        <v>119</v>
      </c>
      <c r="AA10" s="14" t="s">
        <v>120</v>
      </c>
      <c r="AB10" s="14" t="s">
        <v>121</v>
      </c>
      <c r="AC10" s="14" t="s">
        <v>122</v>
      </c>
      <c r="AD10" s="14" t="s">
        <v>123</v>
      </c>
      <c r="AE10" s="14" t="s">
        <v>114</v>
      </c>
      <c r="AF10" s="14" t="s">
        <v>115</v>
      </c>
      <c r="AG10" s="14" t="s">
        <v>116</v>
      </c>
      <c r="AH10" s="14" t="s">
        <v>117</v>
      </c>
      <c r="AI10" s="14" t="s">
        <v>129</v>
      </c>
      <c r="AJ10" s="14" t="s">
        <v>130</v>
      </c>
      <c r="AK10" s="5" t="s">
        <v>18</v>
      </c>
      <c r="AL10" s="5" t="s">
        <v>19</v>
      </c>
      <c r="AM10" s="5" t="s">
        <v>20</v>
      </c>
      <c r="AN10" s="5" t="s">
        <v>21</v>
      </c>
      <c r="AO10" s="5" t="s">
        <v>22</v>
      </c>
      <c r="AP10" s="5" t="s">
        <v>23</v>
      </c>
      <c r="AQ10" s="5" t="s">
        <v>149</v>
      </c>
      <c r="AR10" s="14" t="s">
        <v>24</v>
      </c>
      <c r="AS10" s="14" t="s">
        <v>25</v>
      </c>
      <c r="AT10" s="14" t="s">
        <v>26</v>
      </c>
      <c r="AU10" s="14" t="s">
        <v>27</v>
      </c>
      <c r="AV10" s="14" t="s">
        <v>28</v>
      </c>
      <c r="AW10" s="14" t="s">
        <v>29</v>
      </c>
      <c r="AX10" s="14" t="s">
        <v>30</v>
      </c>
      <c r="AY10" s="14" t="s">
        <v>31</v>
      </c>
      <c r="AZ10" s="14" t="s">
        <v>32</v>
      </c>
    </row>
    <row r="11" spans="1:52" ht="15" thickBot="1" x14ac:dyDescent="0.35">
      <c r="A11" t="s">
        <v>93</v>
      </c>
      <c r="B11" t="s">
        <v>105</v>
      </c>
      <c r="C11" t="s">
        <v>81</v>
      </c>
      <c r="E11" t="s">
        <v>61</v>
      </c>
      <c r="G11" s="37" t="s">
        <v>128</v>
      </c>
      <c r="H11" t="s">
        <v>128</v>
      </c>
      <c r="I11" t="s">
        <v>128</v>
      </c>
      <c r="J11" t="s">
        <v>128</v>
      </c>
      <c r="K11" t="s">
        <v>128</v>
      </c>
      <c r="L11" t="s">
        <v>128</v>
      </c>
      <c r="M11" t="s">
        <v>128</v>
      </c>
      <c r="N11" t="s">
        <v>128</v>
      </c>
      <c r="O11" t="s">
        <v>128</v>
      </c>
      <c r="AE11" t="s">
        <v>128</v>
      </c>
      <c r="AF11" t="s">
        <v>128</v>
      </c>
      <c r="AJ11" s="41"/>
      <c r="AK11" s="37" t="s">
        <v>128</v>
      </c>
      <c r="AL11" t="s">
        <v>128</v>
      </c>
      <c r="AM11" t="s">
        <v>128</v>
      </c>
      <c r="AN11" t="s">
        <v>128</v>
      </c>
      <c r="AR11" t="s">
        <v>128</v>
      </c>
      <c r="AS11" t="s">
        <v>128</v>
      </c>
      <c r="AT11" t="s">
        <v>128</v>
      </c>
      <c r="AU11" t="s">
        <v>128</v>
      </c>
      <c r="AZ11" s="41"/>
    </row>
    <row r="12" spans="1:52" ht="18.600000000000001" thickBot="1" x14ac:dyDescent="0.35">
      <c r="A12" t="s">
        <v>93</v>
      </c>
      <c r="B12" t="s">
        <v>105</v>
      </c>
      <c r="C12" t="s">
        <v>81</v>
      </c>
      <c r="E12" t="s">
        <v>104</v>
      </c>
      <c r="G12" s="5" t="s">
        <v>0</v>
      </c>
      <c r="H12" s="5" t="s">
        <v>1</v>
      </c>
      <c r="I12" s="5" t="s">
        <v>2</v>
      </c>
      <c r="J12" s="5" t="s">
        <v>3</v>
      </c>
      <c r="K12" s="5" t="s">
        <v>4</v>
      </c>
      <c r="L12" s="5" t="s">
        <v>5</v>
      </c>
      <c r="M12" s="5" t="s">
        <v>12</v>
      </c>
      <c r="N12" s="5" t="s">
        <v>13</v>
      </c>
      <c r="O12" s="5" t="s">
        <v>14</v>
      </c>
      <c r="P12" s="5" t="s">
        <v>15</v>
      </c>
      <c r="Q12" s="5" t="s">
        <v>16</v>
      </c>
      <c r="R12" s="5" t="s">
        <v>17</v>
      </c>
      <c r="S12" s="5" t="s">
        <v>6</v>
      </c>
      <c r="T12" s="5" t="s">
        <v>7</v>
      </c>
      <c r="U12" s="5" t="s">
        <v>8</v>
      </c>
      <c r="V12" s="5" t="s">
        <v>9</v>
      </c>
      <c r="W12" s="5" t="s">
        <v>10</v>
      </c>
      <c r="X12" s="5" t="s">
        <v>11</v>
      </c>
      <c r="Y12" s="14" t="s">
        <v>118</v>
      </c>
      <c r="Z12" s="14" t="s">
        <v>119</v>
      </c>
      <c r="AA12" s="14" t="s">
        <v>120</v>
      </c>
      <c r="AB12" s="14" t="s">
        <v>121</v>
      </c>
      <c r="AC12" s="14" t="s">
        <v>122</v>
      </c>
      <c r="AD12" s="14" t="s">
        <v>123</v>
      </c>
      <c r="AE12" s="14" t="s">
        <v>114</v>
      </c>
      <c r="AF12" s="14" t="s">
        <v>115</v>
      </c>
      <c r="AG12" s="14" t="s">
        <v>116</v>
      </c>
      <c r="AH12" s="14" t="s">
        <v>117</v>
      </c>
      <c r="AI12" s="14" t="s">
        <v>129</v>
      </c>
      <c r="AJ12" s="14" t="s">
        <v>130</v>
      </c>
      <c r="AK12" s="5" t="s">
        <v>18</v>
      </c>
      <c r="AL12" s="5" t="s">
        <v>19</v>
      </c>
      <c r="AM12" s="5" t="s">
        <v>20</v>
      </c>
      <c r="AN12" s="5" t="s">
        <v>21</v>
      </c>
      <c r="AO12" s="5" t="s">
        <v>22</v>
      </c>
      <c r="AP12" s="5" t="s">
        <v>23</v>
      </c>
      <c r="AQ12" s="5" t="s">
        <v>149</v>
      </c>
      <c r="AR12" s="14" t="s">
        <v>24</v>
      </c>
      <c r="AS12" s="14" t="s">
        <v>25</v>
      </c>
      <c r="AT12" s="14" t="s">
        <v>26</v>
      </c>
      <c r="AU12" s="14" t="s">
        <v>27</v>
      </c>
      <c r="AV12" s="14" t="s">
        <v>28</v>
      </c>
      <c r="AW12" s="14" t="s">
        <v>29</v>
      </c>
      <c r="AX12" s="14" t="s">
        <v>30</v>
      </c>
      <c r="AY12" s="14" t="s">
        <v>31</v>
      </c>
      <c r="AZ12" s="14" t="s">
        <v>32</v>
      </c>
    </row>
    <row r="13" spans="1:52" x14ac:dyDescent="0.3">
      <c r="A13" t="s">
        <v>93</v>
      </c>
      <c r="B13" t="s">
        <v>105</v>
      </c>
      <c r="C13" t="s">
        <v>81</v>
      </c>
      <c r="E13" t="s">
        <v>309</v>
      </c>
      <c r="G13" s="37" t="s">
        <v>128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  <c r="N13" t="s">
        <v>128</v>
      </c>
      <c r="O13" t="s">
        <v>128</v>
      </c>
      <c r="AE13" t="s">
        <v>128</v>
      </c>
      <c r="AF13" t="s">
        <v>128</v>
      </c>
      <c r="AG13" t="s">
        <v>128</v>
      </c>
      <c r="AH13" t="s">
        <v>128</v>
      </c>
      <c r="AJ13" s="41"/>
      <c r="AK13" s="37" t="s">
        <v>128</v>
      </c>
      <c r="AL13" t="s">
        <v>128</v>
      </c>
      <c r="AM13" t="s">
        <v>128</v>
      </c>
      <c r="AN13" t="s">
        <v>128</v>
      </c>
      <c r="AO13" t="s">
        <v>128</v>
      </c>
      <c r="AP13" t="s">
        <v>128</v>
      </c>
      <c r="AR13" t="s">
        <v>128</v>
      </c>
      <c r="AS13" t="s">
        <v>128</v>
      </c>
      <c r="AT13" t="s">
        <v>128</v>
      </c>
      <c r="AU13" t="s">
        <v>128</v>
      </c>
      <c r="AV13" t="s">
        <v>128</v>
      </c>
      <c r="AW13" t="s">
        <v>128</v>
      </c>
      <c r="AX13" t="s">
        <v>128</v>
      </c>
      <c r="AY13" t="s">
        <v>128</v>
      </c>
      <c r="AZ13" s="41" t="s">
        <v>128</v>
      </c>
    </row>
    <row r="14" spans="1:52" x14ac:dyDescent="0.3">
      <c r="E14" t="s">
        <v>62</v>
      </c>
      <c r="G14" s="37" t="s">
        <v>128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  <c r="N14" t="s">
        <v>128</v>
      </c>
      <c r="O14" t="s">
        <v>128</v>
      </c>
      <c r="P14" t="s">
        <v>128</v>
      </c>
      <c r="Q14" t="s">
        <v>128</v>
      </c>
      <c r="R14" t="s">
        <v>128</v>
      </c>
      <c r="S14" t="s">
        <v>128</v>
      </c>
      <c r="T14" t="s">
        <v>128</v>
      </c>
      <c r="U14" t="s">
        <v>128</v>
      </c>
      <c r="AE14" t="s">
        <v>128</v>
      </c>
      <c r="AF14" t="s">
        <v>128</v>
      </c>
      <c r="AJ14" s="41"/>
      <c r="AK14" s="37" t="s">
        <v>128</v>
      </c>
      <c r="AL14" t="s">
        <v>128</v>
      </c>
      <c r="AM14" t="s">
        <v>128</v>
      </c>
      <c r="AN14" t="s">
        <v>128</v>
      </c>
      <c r="AO14" t="s">
        <v>128</v>
      </c>
      <c r="AP14" t="s">
        <v>128</v>
      </c>
      <c r="AR14" t="s">
        <v>128</v>
      </c>
      <c r="AS14" t="s">
        <v>128</v>
      </c>
      <c r="AT14" t="s">
        <v>128</v>
      </c>
      <c r="AU14" t="s">
        <v>128</v>
      </c>
      <c r="AV14" t="s">
        <v>128</v>
      </c>
      <c r="AW14" t="s">
        <v>128</v>
      </c>
      <c r="AX14" t="s">
        <v>128</v>
      </c>
      <c r="AY14" t="s">
        <v>128</v>
      </c>
      <c r="AZ14" s="41" t="s">
        <v>128</v>
      </c>
    </row>
    <row r="15" spans="1:52" ht="15" thickBot="1" x14ac:dyDescent="0.35">
      <c r="E15" t="s">
        <v>63</v>
      </c>
      <c r="G15" s="37" t="s">
        <v>128</v>
      </c>
      <c r="H15" t="s">
        <v>128</v>
      </c>
      <c r="I15" t="s">
        <v>128</v>
      </c>
      <c r="J15" t="s">
        <v>128</v>
      </c>
      <c r="K15" t="s">
        <v>128</v>
      </c>
      <c r="L15" t="s">
        <v>128</v>
      </c>
      <c r="M15" t="s">
        <v>128</v>
      </c>
      <c r="N15" t="s">
        <v>128</v>
      </c>
      <c r="O15" t="s">
        <v>128</v>
      </c>
      <c r="P15" t="s">
        <v>128</v>
      </c>
      <c r="Q15" t="s">
        <v>128</v>
      </c>
      <c r="R15" t="s">
        <v>128</v>
      </c>
      <c r="S15" t="s">
        <v>128</v>
      </c>
      <c r="T15" t="s">
        <v>128</v>
      </c>
      <c r="U15" t="s">
        <v>128</v>
      </c>
      <c r="V15" t="s">
        <v>128</v>
      </c>
      <c r="W15" t="s">
        <v>128</v>
      </c>
      <c r="X15" t="s">
        <v>128</v>
      </c>
      <c r="AJ15" s="41"/>
      <c r="AK15" s="37" t="s">
        <v>128</v>
      </c>
      <c r="AL15" t="s">
        <v>128</v>
      </c>
      <c r="AM15" t="s">
        <v>128</v>
      </c>
      <c r="AN15" t="s">
        <v>128</v>
      </c>
      <c r="AO15" t="s">
        <v>128</v>
      </c>
      <c r="AP15" t="s">
        <v>128</v>
      </c>
      <c r="AR15" t="s">
        <v>128</v>
      </c>
      <c r="AS15" t="s">
        <v>128</v>
      </c>
      <c r="AT15" t="s">
        <v>128</v>
      </c>
      <c r="AU15" t="s">
        <v>128</v>
      </c>
      <c r="AV15" t="s">
        <v>128</v>
      </c>
      <c r="AW15" t="s">
        <v>128</v>
      </c>
      <c r="AX15" t="s">
        <v>128</v>
      </c>
      <c r="AY15" t="s">
        <v>128</v>
      </c>
      <c r="AZ15" s="41" t="s">
        <v>128</v>
      </c>
    </row>
    <row r="16" spans="1:52" ht="18.600000000000001" thickBot="1" x14ac:dyDescent="0.35">
      <c r="A16" t="s">
        <v>94</v>
      </c>
      <c r="B16" t="s">
        <v>107</v>
      </c>
      <c r="C16" t="s">
        <v>83</v>
      </c>
      <c r="E16" t="s">
        <v>105</v>
      </c>
      <c r="G16" s="5" t="s">
        <v>0</v>
      </c>
      <c r="H16" s="5" t="s">
        <v>1</v>
      </c>
      <c r="I16" s="5" t="s">
        <v>2</v>
      </c>
      <c r="J16" s="5" t="s">
        <v>3</v>
      </c>
      <c r="K16" s="5" t="s">
        <v>4</v>
      </c>
      <c r="L16" s="5" t="s">
        <v>5</v>
      </c>
      <c r="M16" s="5" t="s">
        <v>12</v>
      </c>
      <c r="N16" s="5" t="s">
        <v>13</v>
      </c>
      <c r="O16" s="5" t="s">
        <v>14</v>
      </c>
      <c r="P16" s="5" t="s">
        <v>15</v>
      </c>
      <c r="Q16" s="5" t="s">
        <v>16</v>
      </c>
      <c r="R16" s="5" t="s">
        <v>17</v>
      </c>
      <c r="S16" s="5" t="s">
        <v>6</v>
      </c>
      <c r="T16" s="5" t="s">
        <v>7</v>
      </c>
      <c r="U16" s="5" t="s">
        <v>8</v>
      </c>
      <c r="V16" s="5" t="s">
        <v>9</v>
      </c>
      <c r="W16" s="5" t="s">
        <v>10</v>
      </c>
      <c r="X16" s="5" t="s">
        <v>11</v>
      </c>
      <c r="Y16" s="14" t="s">
        <v>118</v>
      </c>
      <c r="Z16" s="14" t="s">
        <v>119</v>
      </c>
      <c r="AA16" s="14" t="s">
        <v>120</v>
      </c>
      <c r="AB16" s="14" t="s">
        <v>121</v>
      </c>
      <c r="AC16" s="14" t="s">
        <v>122</v>
      </c>
      <c r="AD16" s="14" t="s">
        <v>123</v>
      </c>
      <c r="AE16" s="14" t="s">
        <v>114</v>
      </c>
      <c r="AF16" s="14" t="s">
        <v>115</v>
      </c>
      <c r="AG16" s="14" t="s">
        <v>116</v>
      </c>
      <c r="AH16" s="14" t="s">
        <v>117</v>
      </c>
      <c r="AI16" s="14" t="s">
        <v>129</v>
      </c>
      <c r="AJ16" s="14" t="s">
        <v>130</v>
      </c>
      <c r="AK16" s="5" t="s">
        <v>18</v>
      </c>
      <c r="AL16" s="5" t="s">
        <v>19</v>
      </c>
      <c r="AM16" s="5" t="s">
        <v>20</v>
      </c>
      <c r="AN16" s="5" t="s">
        <v>21</v>
      </c>
      <c r="AO16" s="5" t="s">
        <v>22</v>
      </c>
      <c r="AP16" s="5" t="s">
        <v>23</v>
      </c>
      <c r="AQ16" s="5" t="s">
        <v>149</v>
      </c>
      <c r="AR16" s="14" t="s">
        <v>24</v>
      </c>
      <c r="AS16" s="14" t="s">
        <v>25</v>
      </c>
      <c r="AT16" s="14" t="s">
        <v>26</v>
      </c>
      <c r="AU16" s="14" t="s">
        <v>27</v>
      </c>
      <c r="AV16" s="14" t="s">
        <v>28</v>
      </c>
      <c r="AW16" s="14" t="s">
        <v>29</v>
      </c>
      <c r="AX16" s="14" t="s">
        <v>30</v>
      </c>
      <c r="AY16" s="14" t="s">
        <v>31</v>
      </c>
      <c r="AZ16" s="14" t="s">
        <v>32</v>
      </c>
    </row>
    <row r="17" spans="1:52" x14ac:dyDescent="0.3">
      <c r="A17" t="s">
        <v>96</v>
      </c>
      <c r="B17" t="s">
        <v>108</v>
      </c>
      <c r="C17" t="s">
        <v>84</v>
      </c>
      <c r="E17" t="s">
        <v>64</v>
      </c>
      <c r="G17" s="37" t="s">
        <v>128</v>
      </c>
      <c r="H17" t="s">
        <v>128</v>
      </c>
      <c r="I17" t="s">
        <v>128</v>
      </c>
      <c r="J17" t="s">
        <v>128</v>
      </c>
      <c r="K17" t="s">
        <v>128</v>
      </c>
      <c r="L17" t="s">
        <v>128</v>
      </c>
      <c r="M17" t="s">
        <v>128</v>
      </c>
      <c r="N17" t="s">
        <v>128</v>
      </c>
      <c r="O17" t="s">
        <v>128</v>
      </c>
      <c r="P17" t="s">
        <v>128</v>
      </c>
      <c r="Q17" t="s">
        <v>128</v>
      </c>
      <c r="R17" t="s">
        <v>128</v>
      </c>
      <c r="AE17" t="s">
        <v>128</v>
      </c>
      <c r="AF17" t="s">
        <v>128</v>
      </c>
      <c r="AG17" t="s">
        <v>128</v>
      </c>
      <c r="AH17" t="s">
        <v>128</v>
      </c>
      <c r="AJ17" s="41"/>
      <c r="AK17" s="37" t="s">
        <v>128</v>
      </c>
      <c r="AL17" t="s">
        <v>128</v>
      </c>
      <c r="AM17" t="s">
        <v>128</v>
      </c>
      <c r="AN17" t="s">
        <v>128</v>
      </c>
      <c r="AO17" t="s">
        <v>128</v>
      </c>
      <c r="AP17" t="s">
        <v>128</v>
      </c>
      <c r="AR17" t="s">
        <v>128</v>
      </c>
      <c r="AS17" t="s">
        <v>128</v>
      </c>
      <c r="AT17" t="s">
        <v>128</v>
      </c>
      <c r="AU17" t="s">
        <v>128</v>
      </c>
      <c r="AV17" t="s">
        <v>128</v>
      </c>
      <c r="AW17" t="s">
        <v>128</v>
      </c>
      <c r="AX17" t="s">
        <v>128</v>
      </c>
      <c r="AY17" t="s">
        <v>128</v>
      </c>
      <c r="AZ17" s="41" t="s">
        <v>128</v>
      </c>
    </row>
    <row r="18" spans="1:52" x14ac:dyDescent="0.3">
      <c r="A18" t="s">
        <v>96</v>
      </c>
      <c r="C18" t="s">
        <v>84</v>
      </c>
      <c r="E18" t="s">
        <v>65</v>
      </c>
      <c r="G18" s="37" t="s">
        <v>128</v>
      </c>
      <c r="H18" t="s">
        <v>128</v>
      </c>
      <c r="I18" t="s">
        <v>128</v>
      </c>
      <c r="J18" t="s">
        <v>128</v>
      </c>
      <c r="K18" t="s">
        <v>128</v>
      </c>
      <c r="L18" t="s">
        <v>128</v>
      </c>
      <c r="M18" t="s">
        <v>128</v>
      </c>
      <c r="N18" t="s">
        <v>128</v>
      </c>
      <c r="O18" t="s">
        <v>128</v>
      </c>
      <c r="P18" t="s">
        <v>128</v>
      </c>
      <c r="Q18" t="s">
        <v>128</v>
      </c>
      <c r="R18" t="s">
        <v>128</v>
      </c>
      <c r="S18" t="s">
        <v>128</v>
      </c>
      <c r="T18" t="s">
        <v>128</v>
      </c>
      <c r="U18" t="s">
        <v>128</v>
      </c>
      <c r="AE18" t="s">
        <v>128</v>
      </c>
      <c r="AF18" t="s">
        <v>128</v>
      </c>
      <c r="AJ18" s="41"/>
      <c r="AK18" s="37" t="s">
        <v>128</v>
      </c>
      <c r="AL18" t="s">
        <v>128</v>
      </c>
      <c r="AM18" t="s">
        <v>128</v>
      </c>
      <c r="AN18" t="s">
        <v>128</v>
      </c>
      <c r="AO18" t="s">
        <v>128</v>
      </c>
      <c r="AP18" t="s">
        <v>128</v>
      </c>
      <c r="AR18" t="s">
        <v>128</v>
      </c>
      <c r="AS18" t="s">
        <v>128</v>
      </c>
      <c r="AT18" t="s">
        <v>128</v>
      </c>
      <c r="AU18" t="s">
        <v>128</v>
      </c>
      <c r="AV18" t="s">
        <v>128</v>
      </c>
      <c r="AW18" t="s">
        <v>128</v>
      </c>
      <c r="AX18" t="s">
        <v>128</v>
      </c>
      <c r="AY18" t="s">
        <v>128</v>
      </c>
      <c r="AZ18" s="41" t="s">
        <v>128</v>
      </c>
    </row>
    <row r="19" spans="1:52" ht="15" thickBot="1" x14ac:dyDescent="0.35">
      <c r="A19" t="s">
        <v>97</v>
      </c>
      <c r="B19" t="s">
        <v>109</v>
      </c>
      <c r="C19" t="s">
        <v>85</v>
      </c>
      <c r="E19" t="s">
        <v>66</v>
      </c>
      <c r="G19" s="37" t="s">
        <v>128</v>
      </c>
      <c r="H19" t="s">
        <v>128</v>
      </c>
      <c r="I19" t="s">
        <v>128</v>
      </c>
      <c r="J19" t="s">
        <v>128</v>
      </c>
      <c r="K19" t="s">
        <v>128</v>
      </c>
      <c r="L19" t="s">
        <v>128</v>
      </c>
      <c r="M19" t="s">
        <v>128</v>
      </c>
      <c r="N19" t="s">
        <v>128</v>
      </c>
      <c r="O19" t="s">
        <v>128</v>
      </c>
      <c r="P19" t="s">
        <v>128</v>
      </c>
      <c r="Q19" t="s">
        <v>128</v>
      </c>
      <c r="R19" t="s">
        <v>128</v>
      </c>
      <c r="S19" t="s">
        <v>128</v>
      </c>
      <c r="T19" t="s">
        <v>128</v>
      </c>
      <c r="U19" t="s">
        <v>128</v>
      </c>
      <c r="V19" t="s">
        <v>128</v>
      </c>
      <c r="W19" t="s">
        <v>128</v>
      </c>
      <c r="X19" t="s">
        <v>128</v>
      </c>
      <c r="AJ19" s="41"/>
      <c r="AK19" s="37" t="s">
        <v>128</v>
      </c>
      <c r="AL19" t="s">
        <v>128</v>
      </c>
      <c r="AM19" t="s">
        <v>128</v>
      </c>
      <c r="AN19" t="s">
        <v>128</v>
      </c>
      <c r="AO19" t="s">
        <v>128</v>
      </c>
      <c r="AP19" t="s">
        <v>128</v>
      </c>
      <c r="AR19" t="s">
        <v>128</v>
      </c>
      <c r="AS19" t="s">
        <v>128</v>
      </c>
      <c r="AT19" t="s">
        <v>128</v>
      </c>
      <c r="AU19" t="s">
        <v>128</v>
      </c>
      <c r="AV19" t="s">
        <v>128</v>
      </c>
      <c r="AW19" t="s">
        <v>128</v>
      </c>
      <c r="AX19" t="s">
        <v>128</v>
      </c>
      <c r="AY19" t="s">
        <v>128</v>
      </c>
      <c r="AZ19" s="41" t="s">
        <v>128</v>
      </c>
    </row>
    <row r="20" spans="1:52" ht="18.600000000000001" thickBot="1" x14ac:dyDescent="0.35">
      <c r="A20" t="s">
        <v>98</v>
      </c>
      <c r="B20" t="s">
        <v>110</v>
      </c>
      <c r="C20" t="s">
        <v>86</v>
      </c>
      <c r="E20" t="s">
        <v>107</v>
      </c>
      <c r="G20" s="5" t="s">
        <v>0</v>
      </c>
      <c r="H20" s="5" t="s">
        <v>1</v>
      </c>
      <c r="I20" s="5" t="s">
        <v>2</v>
      </c>
      <c r="J20" s="5" t="s">
        <v>3</v>
      </c>
      <c r="K20" s="5" t="s">
        <v>4</v>
      </c>
      <c r="L20" s="5" t="s">
        <v>5</v>
      </c>
      <c r="M20" s="5" t="s">
        <v>12</v>
      </c>
      <c r="N20" s="5" t="s">
        <v>13</v>
      </c>
      <c r="O20" s="5" t="s">
        <v>14</v>
      </c>
      <c r="P20" s="5" t="s">
        <v>15</v>
      </c>
      <c r="Q20" s="5" t="s">
        <v>16</v>
      </c>
      <c r="R20" s="5" t="s">
        <v>17</v>
      </c>
      <c r="S20" s="5" t="s">
        <v>6</v>
      </c>
      <c r="T20" s="5" t="s">
        <v>7</v>
      </c>
      <c r="U20" s="5" t="s">
        <v>8</v>
      </c>
      <c r="V20" s="5" t="s">
        <v>9</v>
      </c>
      <c r="W20" s="5" t="s">
        <v>10</v>
      </c>
      <c r="X20" s="5" t="s">
        <v>11</v>
      </c>
      <c r="Y20" s="14" t="s">
        <v>118</v>
      </c>
      <c r="Z20" s="14" t="s">
        <v>119</v>
      </c>
      <c r="AA20" s="14" t="s">
        <v>120</v>
      </c>
      <c r="AB20" s="14" t="s">
        <v>121</v>
      </c>
      <c r="AC20" s="14" t="s">
        <v>122</v>
      </c>
      <c r="AD20" s="14" t="s">
        <v>123</v>
      </c>
      <c r="AE20" s="14" t="s">
        <v>114</v>
      </c>
      <c r="AF20" s="14" t="s">
        <v>115</v>
      </c>
      <c r="AG20" s="14" t="s">
        <v>116</v>
      </c>
      <c r="AH20" s="14" t="s">
        <v>117</v>
      </c>
      <c r="AI20" s="14" t="s">
        <v>129</v>
      </c>
      <c r="AJ20" s="14" t="s">
        <v>130</v>
      </c>
      <c r="AK20" s="5"/>
      <c r="AL20" s="5"/>
      <c r="AM20" s="5"/>
      <c r="AN20" s="5"/>
      <c r="AO20" s="5"/>
      <c r="AP20" s="5"/>
      <c r="AQ20" s="5"/>
      <c r="AR20" s="14"/>
      <c r="AS20" s="14"/>
      <c r="AT20" s="14"/>
      <c r="AU20" s="14"/>
      <c r="AV20" s="14"/>
      <c r="AW20" s="14"/>
      <c r="AX20" s="14"/>
      <c r="AY20" s="14"/>
      <c r="AZ20" s="14"/>
    </row>
    <row r="21" spans="1:52" ht="15" thickBot="1" x14ac:dyDescent="0.35">
      <c r="A21" t="s">
        <v>99</v>
      </c>
      <c r="B21" t="s">
        <v>111</v>
      </c>
      <c r="C21" t="s">
        <v>87</v>
      </c>
      <c r="E21" t="s">
        <v>69</v>
      </c>
      <c r="G21" s="37" t="s">
        <v>128</v>
      </c>
      <c r="H21" t="s">
        <v>128</v>
      </c>
      <c r="I21" t="s">
        <v>128</v>
      </c>
      <c r="J21" t="s">
        <v>128</v>
      </c>
      <c r="K21" t="s">
        <v>128</v>
      </c>
      <c r="L21" t="s">
        <v>128</v>
      </c>
      <c r="M21" t="s">
        <v>128</v>
      </c>
      <c r="N21" t="s">
        <v>128</v>
      </c>
      <c r="O21" t="s">
        <v>128</v>
      </c>
      <c r="P21" t="s">
        <v>128</v>
      </c>
      <c r="Q21" t="s">
        <v>128</v>
      </c>
      <c r="R21" t="s">
        <v>128</v>
      </c>
      <c r="S21" t="s">
        <v>128</v>
      </c>
      <c r="T21" t="s">
        <v>128</v>
      </c>
      <c r="U21" t="s">
        <v>128</v>
      </c>
      <c r="Y21" t="s">
        <v>128</v>
      </c>
      <c r="Z21" t="s">
        <v>128</v>
      </c>
      <c r="AA21" t="s">
        <v>128</v>
      </c>
      <c r="AB21" t="s">
        <v>128</v>
      </c>
      <c r="AC21" t="s">
        <v>128</v>
      </c>
      <c r="AD21" t="s">
        <v>128</v>
      </c>
      <c r="AE21" t="s">
        <v>128</v>
      </c>
      <c r="AF21" t="s">
        <v>128</v>
      </c>
      <c r="AG21" t="s">
        <v>128</v>
      </c>
      <c r="AH21" t="s">
        <v>128</v>
      </c>
      <c r="AI21" t="s">
        <v>128</v>
      </c>
      <c r="AJ21" s="41" t="s">
        <v>128</v>
      </c>
      <c r="AK21" s="37"/>
      <c r="AZ21" s="41"/>
    </row>
    <row r="22" spans="1:52" ht="18.600000000000001" thickBot="1" x14ac:dyDescent="0.35">
      <c r="E22" t="s">
        <v>108</v>
      </c>
      <c r="G22" s="5" t="s">
        <v>0</v>
      </c>
      <c r="H22" s="5" t="s">
        <v>1</v>
      </c>
      <c r="I22" s="5" t="s">
        <v>2</v>
      </c>
      <c r="J22" s="5" t="s">
        <v>3</v>
      </c>
      <c r="K22" s="5" t="s">
        <v>4</v>
      </c>
      <c r="L22" s="5" t="s">
        <v>5</v>
      </c>
      <c r="M22" s="5" t="s">
        <v>12</v>
      </c>
      <c r="N22" s="5" t="s">
        <v>13</v>
      </c>
      <c r="O22" s="5" t="s">
        <v>14</v>
      </c>
      <c r="P22" s="5" t="s">
        <v>15</v>
      </c>
      <c r="Q22" s="5" t="s">
        <v>16</v>
      </c>
      <c r="R22" s="5" t="s">
        <v>17</v>
      </c>
      <c r="S22" s="5" t="s">
        <v>6</v>
      </c>
      <c r="T22" s="5" t="s">
        <v>7</v>
      </c>
      <c r="U22" s="5" t="s">
        <v>8</v>
      </c>
      <c r="V22" s="5" t="s">
        <v>9</v>
      </c>
      <c r="W22" s="5" t="s">
        <v>10</v>
      </c>
      <c r="X22" s="5" t="s">
        <v>11</v>
      </c>
      <c r="Y22" s="14" t="s">
        <v>118</v>
      </c>
      <c r="Z22" s="14" t="s">
        <v>119</v>
      </c>
      <c r="AA22" s="14" t="s">
        <v>120</v>
      </c>
      <c r="AB22" s="14" t="s">
        <v>121</v>
      </c>
      <c r="AC22" s="14" t="s">
        <v>122</v>
      </c>
      <c r="AD22" s="14" t="s">
        <v>123</v>
      </c>
      <c r="AE22" s="14" t="s">
        <v>114</v>
      </c>
      <c r="AF22" s="14" t="s">
        <v>115</v>
      </c>
      <c r="AG22" s="14" t="s">
        <v>116</v>
      </c>
      <c r="AH22" s="14" t="s">
        <v>117</v>
      </c>
      <c r="AI22" s="14" t="s">
        <v>129</v>
      </c>
      <c r="AJ22" s="14" t="s">
        <v>130</v>
      </c>
      <c r="AK22" s="5" t="s">
        <v>18</v>
      </c>
      <c r="AL22" s="5" t="s">
        <v>19</v>
      </c>
      <c r="AM22" s="5" t="s">
        <v>20</v>
      </c>
      <c r="AN22" s="5" t="s">
        <v>21</v>
      </c>
      <c r="AO22" s="5" t="s">
        <v>22</v>
      </c>
      <c r="AP22" s="5" t="s">
        <v>23</v>
      </c>
      <c r="AQ22" s="5" t="s">
        <v>149</v>
      </c>
      <c r="AR22" s="14" t="s">
        <v>24</v>
      </c>
      <c r="AS22" s="14" t="s">
        <v>25</v>
      </c>
      <c r="AT22" s="14" t="s">
        <v>26</v>
      </c>
      <c r="AU22" s="14" t="s">
        <v>27</v>
      </c>
      <c r="AV22" s="14" t="s">
        <v>28</v>
      </c>
      <c r="AW22" s="14" t="s">
        <v>29</v>
      </c>
      <c r="AX22" s="14" t="s">
        <v>30</v>
      </c>
      <c r="AY22" s="14" t="s">
        <v>31</v>
      </c>
      <c r="AZ22" s="14" t="s">
        <v>32</v>
      </c>
    </row>
    <row r="23" spans="1:52" ht="15" thickBot="1" x14ac:dyDescent="0.35">
      <c r="A23" s="3" t="s">
        <v>124</v>
      </c>
      <c r="E23" t="s">
        <v>70</v>
      </c>
      <c r="G23" s="37" t="s">
        <v>128</v>
      </c>
      <c r="H23" t="s">
        <v>128</v>
      </c>
      <c r="I23" t="s">
        <v>128</v>
      </c>
      <c r="J23" t="s">
        <v>128</v>
      </c>
      <c r="AJ23" s="41"/>
      <c r="AK23" s="37" t="s">
        <v>128</v>
      </c>
      <c r="AL23" t="s">
        <v>128</v>
      </c>
      <c r="AR23" t="s">
        <v>128</v>
      </c>
      <c r="AS23" t="s">
        <v>128</v>
      </c>
      <c r="AZ23" s="41"/>
    </row>
    <row r="24" spans="1:52" ht="15" thickBot="1" x14ac:dyDescent="0.35">
      <c r="A24" t="s">
        <v>88</v>
      </c>
      <c r="E24" t="s">
        <v>71</v>
      </c>
      <c r="G24" s="37" t="s">
        <v>128</v>
      </c>
      <c r="H24" t="s">
        <v>128</v>
      </c>
      <c r="I24" t="s">
        <v>128</v>
      </c>
      <c r="J24" t="s">
        <v>128</v>
      </c>
      <c r="AJ24" s="41"/>
      <c r="AK24" s="37" t="s">
        <v>128</v>
      </c>
      <c r="AL24" t="s">
        <v>128</v>
      </c>
      <c r="AR24" t="s">
        <v>128</v>
      </c>
      <c r="AS24" t="s">
        <v>128</v>
      </c>
      <c r="AZ24" s="41"/>
    </row>
    <row r="25" spans="1:52" ht="18.600000000000001" thickBot="1" x14ac:dyDescent="0.35">
      <c r="A25" t="s">
        <v>89</v>
      </c>
      <c r="E25" t="s">
        <v>109</v>
      </c>
      <c r="G25" s="5" t="s">
        <v>0</v>
      </c>
      <c r="H25" s="5" t="s">
        <v>1</v>
      </c>
      <c r="I25" s="5" t="s">
        <v>2</v>
      </c>
      <c r="J25" s="5" t="s">
        <v>3</v>
      </c>
      <c r="K25" s="5" t="s">
        <v>4</v>
      </c>
      <c r="L25" s="5" t="s">
        <v>5</v>
      </c>
      <c r="M25" s="5" t="s">
        <v>12</v>
      </c>
      <c r="N25" s="5" t="s">
        <v>13</v>
      </c>
      <c r="O25" s="5" t="s">
        <v>14</v>
      </c>
      <c r="P25" s="5" t="s">
        <v>15</v>
      </c>
      <c r="Q25" s="5" t="s">
        <v>16</v>
      </c>
      <c r="R25" s="5" t="s">
        <v>17</v>
      </c>
      <c r="S25" s="5" t="s">
        <v>6</v>
      </c>
      <c r="T25" s="5" t="s">
        <v>7</v>
      </c>
      <c r="U25" s="5" t="s">
        <v>8</v>
      </c>
      <c r="V25" s="5" t="s">
        <v>9</v>
      </c>
      <c r="W25" s="5" t="s">
        <v>10</v>
      </c>
      <c r="X25" s="5" t="s">
        <v>11</v>
      </c>
      <c r="Y25" s="14" t="s">
        <v>118</v>
      </c>
      <c r="Z25" s="14" t="s">
        <v>119</v>
      </c>
      <c r="AA25" s="14" t="s">
        <v>120</v>
      </c>
      <c r="AB25" s="14" t="s">
        <v>121</v>
      </c>
      <c r="AC25" s="14" t="s">
        <v>122</v>
      </c>
      <c r="AD25" s="14" t="s">
        <v>123</v>
      </c>
      <c r="AE25" s="14" t="s">
        <v>114</v>
      </c>
      <c r="AF25" s="14" t="s">
        <v>115</v>
      </c>
      <c r="AG25" s="14" t="s">
        <v>116</v>
      </c>
      <c r="AH25" s="14" t="s">
        <v>117</v>
      </c>
      <c r="AI25" s="14" t="s">
        <v>129</v>
      </c>
      <c r="AJ25" s="14" t="s">
        <v>130</v>
      </c>
      <c r="AK25" s="5" t="s">
        <v>18</v>
      </c>
      <c r="AL25" s="5" t="s">
        <v>19</v>
      </c>
      <c r="AM25" s="5" t="s">
        <v>20</v>
      </c>
      <c r="AN25" s="5" t="s">
        <v>21</v>
      </c>
      <c r="AO25" s="5" t="s">
        <v>22</v>
      </c>
      <c r="AP25" s="5" t="s">
        <v>23</v>
      </c>
      <c r="AQ25" s="5" t="s">
        <v>149</v>
      </c>
      <c r="AR25" s="14" t="s">
        <v>24</v>
      </c>
      <c r="AS25" s="14" t="s">
        <v>25</v>
      </c>
      <c r="AT25" s="14" t="s">
        <v>26</v>
      </c>
      <c r="AU25" s="14" t="s">
        <v>27</v>
      </c>
      <c r="AV25" s="14" t="s">
        <v>28</v>
      </c>
      <c r="AW25" s="14" t="s">
        <v>29</v>
      </c>
      <c r="AX25" s="14" t="s">
        <v>30</v>
      </c>
      <c r="AY25" s="14" t="s">
        <v>31</v>
      </c>
      <c r="AZ25" s="14" t="s">
        <v>32</v>
      </c>
    </row>
    <row r="26" spans="1:52" ht="15" thickBot="1" x14ac:dyDescent="0.35">
      <c r="A26" t="s">
        <v>90</v>
      </c>
      <c r="E26" t="s">
        <v>72</v>
      </c>
      <c r="G26" s="37" t="s">
        <v>128</v>
      </c>
      <c r="H26" t="s">
        <v>128</v>
      </c>
      <c r="I26" t="s">
        <v>128</v>
      </c>
      <c r="J26" t="s">
        <v>128</v>
      </c>
      <c r="AJ26" s="41"/>
      <c r="AK26" s="37" t="s">
        <v>128</v>
      </c>
      <c r="AL26" t="s">
        <v>128</v>
      </c>
      <c r="AR26" t="s">
        <v>128</v>
      </c>
      <c r="AS26" t="s">
        <v>128</v>
      </c>
      <c r="AZ26" s="41"/>
    </row>
    <row r="27" spans="1:52" ht="18.600000000000001" thickBot="1" x14ac:dyDescent="0.35">
      <c r="A27" t="s">
        <v>91</v>
      </c>
      <c r="E27" t="s">
        <v>110</v>
      </c>
      <c r="G27" s="5" t="s">
        <v>0</v>
      </c>
      <c r="H27" s="5" t="s">
        <v>1</v>
      </c>
      <c r="I27" s="5" t="s">
        <v>2</v>
      </c>
      <c r="J27" s="5" t="s">
        <v>3</v>
      </c>
      <c r="K27" s="5" t="s">
        <v>4</v>
      </c>
      <c r="L27" s="5" t="s">
        <v>5</v>
      </c>
      <c r="M27" s="5" t="s">
        <v>12</v>
      </c>
      <c r="N27" s="5" t="s">
        <v>13</v>
      </c>
      <c r="O27" s="5" t="s">
        <v>14</v>
      </c>
      <c r="P27" s="5" t="s">
        <v>15</v>
      </c>
      <c r="Q27" s="5" t="s">
        <v>16</v>
      </c>
      <c r="R27" s="5" t="s">
        <v>17</v>
      </c>
      <c r="S27" s="5" t="s">
        <v>6</v>
      </c>
      <c r="T27" s="5" t="s">
        <v>7</v>
      </c>
      <c r="U27" s="5" t="s">
        <v>8</v>
      </c>
      <c r="V27" s="5" t="s">
        <v>9</v>
      </c>
      <c r="W27" s="5" t="s">
        <v>10</v>
      </c>
      <c r="X27" s="5" t="s">
        <v>11</v>
      </c>
      <c r="Y27" s="14" t="s">
        <v>118</v>
      </c>
      <c r="Z27" s="14" t="s">
        <v>119</v>
      </c>
      <c r="AA27" s="14" t="s">
        <v>120</v>
      </c>
      <c r="AB27" s="14" t="s">
        <v>121</v>
      </c>
      <c r="AC27" s="14" t="s">
        <v>122</v>
      </c>
      <c r="AD27" s="14" t="s">
        <v>123</v>
      </c>
      <c r="AE27" s="14" t="s">
        <v>114</v>
      </c>
      <c r="AF27" s="14" t="s">
        <v>115</v>
      </c>
      <c r="AG27" s="14" t="s">
        <v>116</v>
      </c>
      <c r="AH27" s="14" t="s">
        <v>117</v>
      </c>
      <c r="AI27" s="14" t="s">
        <v>129</v>
      </c>
      <c r="AJ27" s="14" t="s">
        <v>130</v>
      </c>
      <c r="AK27" s="5" t="s">
        <v>18</v>
      </c>
      <c r="AL27" s="5" t="s">
        <v>19</v>
      </c>
      <c r="AM27" s="5" t="s">
        <v>20</v>
      </c>
      <c r="AN27" s="5" t="s">
        <v>21</v>
      </c>
      <c r="AO27" s="5" t="s">
        <v>22</v>
      </c>
      <c r="AP27" s="5" t="s">
        <v>23</v>
      </c>
      <c r="AQ27" s="5" t="s">
        <v>149</v>
      </c>
      <c r="AR27" s="14" t="s">
        <v>24</v>
      </c>
      <c r="AS27" s="14" t="s">
        <v>25</v>
      </c>
      <c r="AT27" s="14" t="s">
        <v>26</v>
      </c>
      <c r="AU27" s="14" t="s">
        <v>27</v>
      </c>
      <c r="AV27" s="14" t="s">
        <v>28</v>
      </c>
      <c r="AW27" s="14" t="s">
        <v>29</v>
      </c>
      <c r="AX27" s="14" t="s">
        <v>30</v>
      </c>
      <c r="AY27" s="14" t="s">
        <v>31</v>
      </c>
      <c r="AZ27" s="14" t="s">
        <v>32</v>
      </c>
    </row>
    <row r="28" spans="1:52" ht="15" thickBot="1" x14ac:dyDescent="0.35">
      <c r="A28" t="s">
        <v>92</v>
      </c>
      <c r="E28" t="s">
        <v>73</v>
      </c>
      <c r="G28" s="37"/>
      <c r="AJ28" s="41"/>
      <c r="AK28" s="37"/>
      <c r="AR28" t="s">
        <v>128</v>
      </c>
      <c r="AS28" t="s">
        <v>128</v>
      </c>
      <c r="AT28" t="s">
        <v>128</v>
      </c>
      <c r="AZ28" s="41"/>
    </row>
    <row r="29" spans="1:52" ht="18.600000000000001" thickBot="1" x14ac:dyDescent="0.35">
      <c r="A29" t="s">
        <v>93</v>
      </c>
      <c r="E29" t="s">
        <v>111</v>
      </c>
      <c r="G29" s="5" t="s">
        <v>0</v>
      </c>
      <c r="H29" s="5" t="s">
        <v>1</v>
      </c>
      <c r="I29" s="5" t="s">
        <v>2</v>
      </c>
      <c r="J29" s="5" t="s">
        <v>3</v>
      </c>
      <c r="K29" s="5" t="s">
        <v>4</v>
      </c>
      <c r="L29" s="5" t="s">
        <v>5</v>
      </c>
      <c r="M29" s="5" t="s">
        <v>12</v>
      </c>
      <c r="N29" s="5" t="s">
        <v>13</v>
      </c>
      <c r="O29" s="5" t="s">
        <v>14</v>
      </c>
      <c r="P29" s="5" t="s">
        <v>15</v>
      </c>
      <c r="Q29" s="5" t="s">
        <v>16</v>
      </c>
      <c r="R29" s="5" t="s">
        <v>17</v>
      </c>
      <c r="S29" s="5" t="s">
        <v>6</v>
      </c>
      <c r="T29" s="5" t="s">
        <v>7</v>
      </c>
      <c r="U29" s="5" t="s">
        <v>8</v>
      </c>
      <c r="V29" s="5" t="s">
        <v>9</v>
      </c>
      <c r="W29" s="5" t="s">
        <v>10</v>
      </c>
      <c r="X29" s="5" t="s">
        <v>11</v>
      </c>
      <c r="Y29" s="14" t="s">
        <v>118</v>
      </c>
      <c r="Z29" s="14" t="s">
        <v>119</v>
      </c>
      <c r="AA29" s="14" t="s">
        <v>120</v>
      </c>
      <c r="AB29" s="14" t="s">
        <v>121</v>
      </c>
      <c r="AC29" s="14" t="s">
        <v>122</v>
      </c>
      <c r="AD29" s="14" t="s">
        <v>123</v>
      </c>
      <c r="AE29" s="14" t="s">
        <v>114</v>
      </c>
      <c r="AF29" s="14" t="s">
        <v>115</v>
      </c>
      <c r="AG29" s="14" t="s">
        <v>116</v>
      </c>
      <c r="AH29" s="14" t="s">
        <v>117</v>
      </c>
      <c r="AI29" s="14" t="s">
        <v>129</v>
      </c>
      <c r="AJ29" s="14" t="s">
        <v>130</v>
      </c>
      <c r="AK29" s="5" t="s">
        <v>18</v>
      </c>
      <c r="AL29" s="5" t="s">
        <v>19</v>
      </c>
      <c r="AM29" s="5" t="s">
        <v>20</v>
      </c>
      <c r="AN29" s="5" t="s">
        <v>21</v>
      </c>
      <c r="AO29" s="5" t="s">
        <v>22</v>
      </c>
      <c r="AP29" s="5" t="s">
        <v>23</v>
      </c>
      <c r="AQ29" s="5" t="s">
        <v>149</v>
      </c>
      <c r="AR29" s="14" t="s">
        <v>24</v>
      </c>
      <c r="AS29" s="14" t="s">
        <v>25</v>
      </c>
      <c r="AT29" s="14" t="s">
        <v>26</v>
      </c>
      <c r="AU29" s="14" t="s">
        <v>27</v>
      </c>
      <c r="AV29" s="14" t="s">
        <v>28</v>
      </c>
      <c r="AW29" s="14" t="s">
        <v>29</v>
      </c>
      <c r="AX29" s="14" t="s">
        <v>30</v>
      </c>
      <c r="AY29" s="14" t="s">
        <v>31</v>
      </c>
      <c r="AZ29" s="14" t="s">
        <v>32</v>
      </c>
    </row>
    <row r="30" spans="1:52" x14ac:dyDescent="0.3">
      <c r="A30" t="s">
        <v>94</v>
      </c>
      <c r="E30" t="s">
        <v>74</v>
      </c>
      <c r="G30" s="37"/>
      <c r="AJ30" s="41"/>
      <c r="AK30" s="37"/>
      <c r="AR30" t="s">
        <v>128</v>
      </c>
      <c r="AS30" t="s">
        <v>128</v>
      </c>
      <c r="AT30" t="s">
        <v>128</v>
      </c>
      <c r="AU30" t="s">
        <v>128</v>
      </c>
      <c r="AV30" t="s">
        <v>128</v>
      </c>
      <c r="AW30" t="s">
        <v>128</v>
      </c>
      <c r="AZ30" s="41"/>
    </row>
    <row r="31" spans="1:52" x14ac:dyDescent="0.3">
      <c r="A31" t="s">
        <v>96</v>
      </c>
      <c r="G31" s="37"/>
      <c r="AJ31" s="41"/>
      <c r="AK31" s="37"/>
      <c r="AZ31" s="41"/>
    </row>
    <row r="32" spans="1:52" x14ac:dyDescent="0.3">
      <c r="A32" t="s">
        <v>97</v>
      </c>
      <c r="G32" s="37">
        <v>100</v>
      </c>
      <c r="H32">
        <v>100</v>
      </c>
      <c r="I32">
        <v>100</v>
      </c>
      <c r="J32">
        <v>100</v>
      </c>
      <c r="K32">
        <v>100</v>
      </c>
      <c r="L32">
        <v>100</v>
      </c>
      <c r="M32">
        <v>100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  <c r="T32">
        <v>100</v>
      </c>
      <c r="U32">
        <v>100</v>
      </c>
      <c r="AJ32" s="41"/>
      <c r="AK32" s="37"/>
      <c r="AZ32" s="41"/>
    </row>
    <row r="33" spans="1:52" ht="15" thickBot="1" x14ac:dyDescent="0.35">
      <c r="A33" t="s">
        <v>98</v>
      </c>
      <c r="E33" t="s">
        <v>106</v>
      </c>
      <c r="G33" s="37">
        <v>200</v>
      </c>
      <c r="H33">
        <v>200</v>
      </c>
      <c r="I33">
        <v>200</v>
      </c>
      <c r="J33">
        <v>200</v>
      </c>
      <c r="K33">
        <v>200</v>
      </c>
      <c r="L33">
        <v>200</v>
      </c>
      <c r="M33">
        <v>200</v>
      </c>
      <c r="N33">
        <v>200</v>
      </c>
      <c r="O33">
        <v>200</v>
      </c>
      <c r="P33">
        <v>200</v>
      </c>
      <c r="Q33">
        <v>200</v>
      </c>
      <c r="R33">
        <v>200</v>
      </c>
      <c r="S33">
        <v>200</v>
      </c>
      <c r="T33">
        <v>200</v>
      </c>
      <c r="U33">
        <v>200</v>
      </c>
      <c r="AJ33" s="41"/>
      <c r="AK33" s="37"/>
      <c r="AZ33" s="41"/>
    </row>
    <row r="34" spans="1:52" ht="18.600000000000001" thickBot="1" x14ac:dyDescent="0.35">
      <c r="A34" t="s">
        <v>99</v>
      </c>
      <c r="E34" t="s">
        <v>67</v>
      </c>
      <c r="G34" s="5" t="s">
        <v>0</v>
      </c>
      <c r="H34" s="5" t="s">
        <v>1</v>
      </c>
      <c r="I34" s="5" t="s">
        <v>2</v>
      </c>
      <c r="J34" s="5" t="s">
        <v>3</v>
      </c>
      <c r="K34" s="5" t="s">
        <v>4</v>
      </c>
      <c r="L34" s="5" t="s">
        <v>5</v>
      </c>
      <c r="M34" s="5" t="s">
        <v>12</v>
      </c>
      <c r="N34" s="5" t="s">
        <v>13</v>
      </c>
      <c r="O34" s="5" t="s">
        <v>14</v>
      </c>
      <c r="P34" s="5" t="s">
        <v>15</v>
      </c>
      <c r="Q34" s="5" t="s">
        <v>16</v>
      </c>
      <c r="R34" s="5" t="s">
        <v>17</v>
      </c>
      <c r="S34" s="5" t="s">
        <v>6</v>
      </c>
      <c r="T34" s="5" t="s">
        <v>7</v>
      </c>
      <c r="U34" s="5" t="s">
        <v>8</v>
      </c>
      <c r="AJ34" s="41"/>
      <c r="AK34" s="37"/>
      <c r="AZ34" s="41"/>
    </row>
    <row r="35" spans="1:52" x14ac:dyDescent="0.3">
      <c r="E35" t="s">
        <v>68</v>
      </c>
      <c r="G35" s="42" t="s">
        <v>128</v>
      </c>
      <c r="H35" s="43" t="s">
        <v>128</v>
      </c>
      <c r="I35" s="43" t="s">
        <v>128</v>
      </c>
      <c r="J35" s="43" t="s">
        <v>128</v>
      </c>
      <c r="K35" s="43" t="s">
        <v>128</v>
      </c>
      <c r="AJ35" s="41"/>
      <c r="AK35" s="37"/>
      <c r="AZ35" s="41"/>
    </row>
    <row r="36" spans="1:52" ht="15" thickBot="1" x14ac:dyDescent="0.35">
      <c r="G36" s="44" t="s">
        <v>128</v>
      </c>
      <c r="H36" s="45" t="s">
        <v>128</v>
      </c>
      <c r="I36" s="45" t="s">
        <v>128</v>
      </c>
      <c r="J36" s="45" t="s">
        <v>128</v>
      </c>
      <c r="K36" s="45" t="s">
        <v>128</v>
      </c>
      <c r="L36" s="45" t="s">
        <v>128</v>
      </c>
      <c r="M36" s="45" t="s">
        <v>128</v>
      </c>
      <c r="N36" s="45" t="s">
        <v>128</v>
      </c>
      <c r="O36" s="45" t="s">
        <v>128</v>
      </c>
      <c r="P36" s="45" t="s">
        <v>128</v>
      </c>
      <c r="Q36" s="45" t="s">
        <v>128</v>
      </c>
      <c r="R36" s="45" t="s">
        <v>128</v>
      </c>
      <c r="S36" s="45" t="s">
        <v>128</v>
      </c>
      <c r="T36" s="45" t="s">
        <v>128</v>
      </c>
      <c r="U36" s="45" t="s">
        <v>128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46"/>
      <c r="AK36" s="47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46"/>
    </row>
    <row r="40" spans="1:52" ht="18.600000000000001" thickBot="1" x14ac:dyDescent="0.35">
      <c r="G40" s="4" t="s">
        <v>0</v>
      </c>
      <c r="H40" s="4" t="s">
        <v>1</v>
      </c>
      <c r="I40" s="4" t="s">
        <v>2</v>
      </c>
      <c r="J40" s="4" t="s">
        <v>3</v>
      </c>
      <c r="K40" s="4" t="s">
        <v>4</v>
      </c>
      <c r="L40" s="4" t="s">
        <v>5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6</v>
      </c>
      <c r="T40" s="4" t="s">
        <v>7</v>
      </c>
      <c r="U40" s="4" t="s">
        <v>8</v>
      </c>
      <c r="V40" s="4" t="s">
        <v>9</v>
      </c>
      <c r="W40" s="4" t="s">
        <v>10</v>
      </c>
      <c r="X40" s="4" t="s">
        <v>11</v>
      </c>
      <c r="Y40" s="53" t="s">
        <v>118</v>
      </c>
      <c r="Z40" s="53" t="s">
        <v>119</v>
      </c>
      <c r="AA40" s="53" t="s">
        <v>120</v>
      </c>
      <c r="AB40" s="53" t="s">
        <v>121</v>
      </c>
      <c r="AC40" s="53" t="s">
        <v>122</v>
      </c>
      <c r="AD40" s="53" t="s">
        <v>123</v>
      </c>
      <c r="AE40" s="53" t="s">
        <v>114</v>
      </c>
      <c r="AF40" s="53" t="s">
        <v>115</v>
      </c>
      <c r="AG40" s="53" t="s">
        <v>116</v>
      </c>
      <c r="AH40" s="53" t="s">
        <v>117</v>
      </c>
      <c r="AI40" s="53" t="s">
        <v>129</v>
      </c>
      <c r="AJ40" s="53" t="s">
        <v>130</v>
      </c>
    </row>
    <row r="41" spans="1:52" x14ac:dyDescent="0.3">
      <c r="A41" s="16" t="s">
        <v>95</v>
      </c>
      <c r="B41" s="16" t="s">
        <v>106</v>
      </c>
      <c r="C41" s="16" t="s">
        <v>82</v>
      </c>
      <c r="G41" s="15" t="s">
        <v>113</v>
      </c>
      <c r="H41" s="15" t="s">
        <v>113</v>
      </c>
      <c r="I41" s="15" t="s">
        <v>113</v>
      </c>
      <c r="J41" s="15" t="s">
        <v>113</v>
      </c>
      <c r="K41" s="15" t="s">
        <v>113</v>
      </c>
      <c r="L41" s="15" t="s">
        <v>113</v>
      </c>
      <c r="M41" s="15" t="s">
        <v>113</v>
      </c>
      <c r="N41" s="15" t="s">
        <v>113</v>
      </c>
      <c r="O41" s="15" t="s">
        <v>113</v>
      </c>
      <c r="P41" s="15" t="s">
        <v>113</v>
      </c>
      <c r="Q41" s="15" t="s">
        <v>113</v>
      </c>
      <c r="R41" s="15" t="s">
        <v>113</v>
      </c>
      <c r="S41" s="15" t="s">
        <v>113</v>
      </c>
      <c r="T41" s="15" t="s">
        <v>113</v>
      </c>
      <c r="U41" s="15" t="s">
        <v>113</v>
      </c>
      <c r="V41" s="15" t="s">
        <v>113</v>
      </c>
      <c r="W41" s="15" t="s">
        <v>113</v>
      </c>
      <c r="X41" s="15" t="s">
        <v>113</v>
      </c>
      <c r="Y41" s="15" t="s">
        <v>90</v>
      </c>
      <c r="Z41" s="15" t="s">
        <v>90</v>
      </c>
      <c r="AA41" s="15" t="s">
        <v>90</v>
      </c>
      <c r="AB41" s="15" t="s">
        <v>90</v>
      </c>
      <c r="AC41" s="15" t="s">
        <v>90</v>
      </c>
      <c r="AD41" s="15" t="s">
        <v>90</v>
      </c>
      <c r="AE41" s="15" t="s">
        <v>90</v>
      </c>
      <c r="AF41" s="15" t="s">
        <v>90</v>
      </c>
      <c r="AG41" s="15" t="s">
        <v>90</v>
      </c>
      <c r="AH41" s="15" t="s">
        <v>90</v>
      </c>
      <c r="AI41" s="15" t="s">
        <v>90</v>
      </c>
      <c r="AJ41" s="15" t="s">
        <v>90</v>
      </c>
    </row>
    <row r="42" spans="1:52" ht="15" thickBot="1" x14ac:dyDescent="0.35">
      <c r="A42" s="16" t="s">
        <v>95</v>
      </c>
      <c r="B42" s="16" t="s">
        <v>106</v>
      </c>
      <c r="C42" s="16" t="s">
        <v>82</v>
      </c>
      <c r="G42" s="3" t="s">
        <v>89</v>
      </c>
      <c r="H42" t="s">
        <v>89</v>
      </c>
      <c r="I42" t="s">
        <v>89</v>
      </c>
      <c r="J42" t="s">
        <v>89</v>
      </c>
      <c r="K42" t="s">
        <v>89</v>
      </c>
      <c r="L42" t="s">
        <v>89</v>
      </c>
      <c r="M42" t="s">
        <v>89</v>
      </c>
      <c r="N42" t="s">
        <v>89</v>
      </c>
      <c r="O42" t="s">
        <v>89</v>
      </c>
      <c r="P42" t="s">
        <v>89</v>
      </c>
      <c r="Q42" t="s">
        <v>89</v>
      </c>
      <c r="R42" t="s">
        <v>89</v>
      </c>
      <c r="S42" t="s">
        <v>89</v>
      </c>
      <c r="T42" t="s">
        <v>89</v>
      </c>
      <c r="U42" t="s">
        <v>89</v>
      </c>
      <c r="V42" t="s">
        <v>89</v>
      </c>
      <c r="W42" t="s">
        <v>89</v>
      </c>
      <c r="X42" t="s">
        <v>89</v>
      </c>
      <c r="Y42" t="s">
        <v>134</v>
      </c>
      <c r="Z42" t="s">
        <v>134</v>
      </c>
      <c r="AA42" t="s">
        <v>134</v>
      </c>
      <c r="AB42" t="s">
        <v>134</v>
      </c>
      <c r="AC42" t="s">
        <v>134</v>
      </c>
      <c r="AD42" t="s">
        <v>134</v>
      </c>
      <c r="AE42" t="s">
        <v>134</v>
      </c>
      <c r="AF42" t="s">
        <v>134</v>
      </c>
      <c r="AG42" t="s">
        <v>134</v>
      </c>
      <c r="AH42" t="s">
        <v>134</v>
      </c>
      <c r="AI42" t="s">
        <v>134</v>
      </c>
      <c r="AJ42" t="s">
        <v>134</v>
      </c>
    </row>
    <row r="43" spans="1:52" x14ac:dyDescent="0.3">
      <c r="A43" t="s">
        <v>95</v>
      </c>
    </row>
    <row r="48" spans="1:52" x14ac:dyDescent="0.3">
      <c r="A48" t="s">
        <v>165</v>
      </c>
      <c r="B48" t="s">
        <v>164</v>
      </c>
    </row>
    <row r="49" spans="1:3" x14ac:dyDescent="0.3">
      <c r="A49" t="s">
        <v>166</v>
      </c>
      <c r="B49" t="s">
        <v>166</v>
      </c>
    </row>
    <row r="50" spans="1:3" x14ac:dyDescent="0.3">
      <c r="B50" t="s">
        <v>168</v>
      </c>
    </row>
    <row r="51" spans="1:3" x14ac:dyDescent="0.3">
      <c r="B51" t="s">
        <v>167</v>
      </c>
    </row>
    <row r="52" spans="1:3" x14ac:dyDescent="0.3">
      <c r="B52" t="s">
        <v>169</v>
      </c>
    </row>
    <row r="54" spans="1:3" x14ac:dyDescent="0.3">
      <c r="A54" t="s">
        <v>196</v>
      </c>
    </row>
    <row r="55" spans="1:3" x14ac:dyDescent="0.3">
      <c r="A55" t="s">
        <v>197</v>
      </c>
      <c r="B55" s="1" t="s">
        <v>201</v>
      </c>
      <c r="C55">
        <v>8</v>
      </c>
    </row>
    <row r="56" spans="1:3" x14ac:dyDescent="0.3">
      <c r="A56" t="s">
        <v>198</v>
      </c>
      <c r="B56" s="49" t="s">
        <v>202</v>
      </c>
      <c r="C56">
        <v>16</v>
      </c>
    </row>
    <row r="57" spans="1:3" x14ac:dyDescent="0.3">
      <c r="A57" t="s">
        <v>199</v>
      </c>
      <c r="B57" s="49" t="s">
        <v>203</v>
      </c>
      <c r="C57">
        <v>24</v>
      </c>
    </row>
    <row r="59" spans="1:3" x14ac:dyDescent="0.3">
      <c r="A59" t="s">
        <v>284</v>
      </c>
    </row>
    <row r="60" spans="1:3" x14ac:dyDescent="0.3">
      <c r="A60" t="s">
        <v>285</v>
      </c>
    </row>
    <row r="61" spans="1:3" x14ac:dyDescent="0.3">
      <c r="A61" t="s">
        <v>286</v>
      </c>
    </row>
    <row r="62" spans="1:3" x14ac:dyDescent="0.3">
      <c r="A62" t="s">
        <v>287</v>
      </c>
    </row>
    <row r="64" spans="1:3" x14ac:dyDescent="0.3">
      <c r="A64" t="s">
        <v>288</v>
      </c>
    </row>
    <row r="65" spans="1:1" x14ac:dyDescent="0.3">
      <c r="A65" t="s">
        <v>289</v>
      </c>
    </row>
    <row r="66" spans="1:1" x14ac:dyDescent="0.3">
      <c r="A66" t="s">
        <v>290</v>
      </c>
    </row>
  </sheetData>
  <sheetProtection algorithmName="SHA-512" hashValue="I2ZKf1DRjMfCdBwzYGqlFgY1pJ+3my9qG7W7z1UG26nZSLYx9gp2YuFjpPquxRzeUp+qgvcZI/SbTkHYcFEgEQ==" saltValue="S4Rj9v/abRR97dBBuBJ+dw==" spinCount="100000" sheet="1" objects="1" scenarios="1" formatCells="0" formatColumns="0" formatRows="0" selectLockedCells="1" selectUnlockedCells="1"/>
  <mergeCells count="2">
    <mergeCell ref="G1:AJ2"/>
    <mergeCell ref="AK1:AZ2"/>
  </mergeCells>
  <phoneticPr fontId="1" type="noConversion"/>
  <pageMargins left="0.7" right="0.7" top="0.75" bottom="0.75" header="0.3" footer="0.3"/>
  <pageSetup orientation="portrait" r:id="rId1"/>
  <tableParts count="4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11C3F-2D86-4D96-BB6B-770A6474F89F}">
  <sheetPr codeName="Sheet1"/>
  <dimension ref="B1:O46"/>
  <sheetViews>
    <sheetView showGridLines="0" topLeftCell="B18" workbookViewId="0">
      <selection activeCell="C32" sqref="C32:D34"/>
    </sheetView>
  </sheetViews>
  <sheetFormatPr defaultRowHeight="14.4" x14ac:dyDescent="0.3"/>
  <cols>
    <col min="2" max="2" width="16.44140625" bestFit="1" customWidth="1"/>
    <col min="3" max="3" width="14.109375" bestFit="1" customWidth="1"/>
    <col min="4" max="4" width="17" bestFit="1" customWidth="1"/>
    <col min="5" max="5" width="17.5546875" bestFit="1" customWidth="1"/>
    <col min="6" max="6" width="16.109375" bestFit="1" customWidth="1"/>
    <col min="7" max="7" width="17.109375" bestFit="1" customWidth="1"/>
  </cols>
  <sheetData>
    <row r="1" spans="2:15" x14ac:dyDescent="0.3">
      <c r="B1" s="7"/>
      <c r="C1" s="7"/>
      <c r="D1" s="7"/>
      <c r="E1" s="7"/>
      <c r="F1" s="7"/>
      <c r="G1" s="7"/>
    </row>
    <row r="2" spans="2:15" ht="15" thickBot="1" x14ac:dyDescent="0.35">
      <c r="B2" s="182"/>
      <c r="C2" s="183" t="s">
        <v>254</v>
      </c>
      <c r="D2" s="183"/>
      <c r="E2" s="183"/>
      <c r="F2" s="183"/>
      <c r="G2" s="183"/>
      <c r="N2" s="2" t="s">
        <v>311</v>
      </c>
    </row>
    <row r="3" spans="2:15" x14ac:dyDescent="0.3">
      <c r="B3" s="182"/>
      <c r="C3" s="183"/>
      <c r="D3" s="183"/>
      <c r="E3" s="183"/>
      <c r="F3" s="183"/>
      <c r="G3" s="183"/>
      <c r="M3" s="105"/>
      <c r="N3" s="106"/>
      <c r="O3" s="107"/>
    </row>
    <row r="4" spans="2:15" ht="15" thickBot="1" x14ac:dyDescent="0.35">
      <c r="B4" s="182"/>
      <c r="C4" s="184"/>
      <c r="D4" s="184"/>
      <c r="E4" s="184"/>
      <c r="F4" s="184"/>
      <c r="G4" s="184"/>
      <c r="M4" s="108"/>
      <c r="N4" s="103"/>
      <c r="O4" s="109"/>
    </row>
    <row r="5" spans="2:15" ht="4.5" customHeight="1" thickBot="1" x14ac:dyDescent="0.35">
      <c r="B5" s="120"/>
      <c r="C5" s="118"/>
      <c r="D5" s="118"/>
      <c r="E5" s="118"/>
      <c r="F5" s="118"/>
      <c r="G5" s="119"/>
      <c r="M5" s="108"/>
      <c r="N5" s="103"/>
      <c r="O5" s="109"/>
    </row>
    <row r="6" spans="2:15" ht="18" x14ac:dyDescent="0.35">
      <c r="B6" s="13" t="s">
        <v>44</v>
      </c>
      <c r="C6" s="189" t="s">
        <v>51</v>
      </c>
      <c r="D6" s="190"/>
      <c r="E6" s="189" t="s">
        <v>48</v>
      </c>
      <c r="F6" s="190"/>
      <c r="G6" s="10" t="s">
        <v>45</v>
      </c>
      <c r="M6" s="108"/>
      <c r="N6" s="103"/>
      <c r="O6" s="109"/>
    </row>
    <row r="7" spans="2:15" ht="15.6" x14ac:dyDescent="0.3">
      <c r="B7" s="8">
        <v>44883</v>
      </c>
      <c r="C7" s="191" t="s">
        <v>652</v>
      </c>
      <c r="D7" s="191"/>
      <c r="E7" s="191" t="s">
        <v>653</v>
      </c>
      <c r="F7" s="191"/>
      <c r="G7" s="9" t="s">
        <v>642</v>
      </c>
      <c r="M7" s="108"/>
      <c r="N7" s="103"/>
      <c r="O7" s="109"/>
    </row>
    <row r="8" spans="2:15" ht="18.600000000000001" thickBot="1" x14ac:dyDescent="0.4">
      <c r="B8" s="185" t="s">
        <v>46</v>
      </c>
      <c r="C8" s="186"/>
      <c r="D8" s="187" t="s">
        <v>50</v>
      </c>
      <c r="E8" s="186"/>
      <c r="F8" s="187" t="s">
        <v>47</v>
      </c>
      <c r="G8" s="188"/>
      <c r="M8" s="110"/>
      <c r="N8" s="111"/>
      <c r="O8" s="112"/>
    </row>
    <row r="9" spans="2:15" ht="15.6" x14ac:dyDescent="0.3">
      <c r="B9" s="194" t="s">
        <v>640</v>
      </c>
      <c r="C9" s="193"/>
      <c r="D9" s="192" t="s">
        <v>641</v>
      </c>
      <c r="E9" s="193"/>
      <c r="F9" s="192" t="s">
        <v>654</v>
      </c>
      <c r="G9" s="195"/>
    </row>
    <row r="10" spans="2:15" ht="18" x14ac:dyDescent="0.35">
      <c r="B10" s="11"/>
      <c r="C10" s="176" t="s">
        <v>49</v>
      </c>
      <c r="D10" s="176"/>
      <c r="E10" s="176" t="s">
        <v>248</v>
      </c>
      <c r="F10" s="176"/>
      <c r="G10" s="12"/>
    </row>
    <row r="11" spans="2:15" ht="16.2" thickBot="1" x14ac:dyDescent="0.35">
      <c r="B11" s="11"/>
      <c r="C11" s="175"/>
      <c r="D11" s="175"/>
      <c r="E11" s="175" t="s">
        <v>249</v>
      </c>
      <c r="F11" s="177"/>
      <c r="G11" s="58" t="s">
        <v>313</v>
      </c>
    </row>
    <row r="12" spans="2:15" ht="4.5" customHeight="1" thickBot="1" x14ac:dyDescent="0.4">
      <c r="B12" s="121"/>
      <c r="C12" s="122"/>
      <c r="D12" s="122"/>
      <c r="E12" s="122"/>
      <c r="F12" s="122"/>
      <c r="G12" s="123"/>
    </row>
    <row r="13" spans="2:15" ht="18" x14ac:dyDescent="0.35">
      <c r="B13" s="55" t="s">
        <v>265</v>
      </c>
      <c r="C13" s="178" t="s">
        <v>266</v>
      </c>
      <c r="D13" s="179"/>
      <c r="E13" s="180" t="s">
        <v>187</v>
      </c>
      <c r="F13" s="180"/>
      <c r="G13" s="181"/>
    </row>
    <row r="14" spans="2:15" x14ac:dyDescent="0.3">
      <c r="B14" s="159" t="str">
        <f>IF(E14="","",VLOOKUP(E14,Parts_Data!$A$2:$B$102,2,FALSE))</f>
        <v>Remote E-Stop</v>
      </c>
      <c r="C14" s="162" t="s">
        <v>657</v>
      </c>
      <c r="D14" s="163"/>
      <c r="E14" s="171" t="s">
        <v>189</v>
      </c>
      <c r="F14" s="171"/>
      <c r="G14" s="172"/>
    </row>
    <row r="15" spans="2:15" x14ac:dyDescent="0.3">
      <c r="B15" s="160"/>
      <c r="C15" s="164"/>
      <c r="D15" s="165"/>
      <c r="E15" s="171"/>
      <c r="F15" s="171"/>
      <c r="G15" s="172"/>
    </row>
    <row r="16" spans="2:15" x14ac:dyDescent="0.3">
      <c r="B16" s="168"/>
      <c r="C16" s="169"/>
      <c r="D16" s="170"/>
      <c r="E16" s="171"/>
      <c r="F16" s="171"/>
      <c r="G16" s="172"/>
    </row>
    <row r="17" spans="2:7" x14ac:dyDescent="0.3">
      <c r="B17" s="159" t="str">
        <f>IF(E17="","",VLOOKUP(E17,Parts_Data!$A$2:$B$102,2,FALSE))</f>
        <v>Remote HMI</v>
      </c>
      <c r="C17" s="162" t="s">
        <v>645</v>
      </c>
      <c r="D17" s="163"/>
      <c r="E17" s="171" t="s">
        <v>191</v>
      </c>
      <c r="F17" s="171"/>
      <c r="G17" s="172"/>
    </row>
    <row r="18" spans="2:7" ht="96.75" customHeight="1" x14ac:dyDescent="0.3">
      <c r="B18" s="160"/>
      <c r="C18" s="164"/>
      <c r="D18" s="165"/>
      <c r="E18" s="171"/>
      <c r="F18" s="171"/>
      <c r="G18" s="172"/>
    </row>
    <row r="19" spans="2:7" x14ac:dyDescent="0.3">
      <c r="B19" s="168"/>
      <c r="C19" s="169"/>
      <c r="D19" s="170"/>
      <c r="E19" s="171"/>
      <c r="F19" s="171"/>
      <c r="G19" s="172"/>
    </row>
    <row r="20" spans="2:7" x14ac:dyDescent="0.3">
      <c r="B20" s="159" t="str">
        <f>IF(E20="","",VLOOKUP(E20,Parts_Data!$A$2:$B$102,2,FALSE))</f>
        <v>200A Power Distribution Panel</v>
      </c>
      <c r="C20" s="162" t="s">
        <v>643</v>
      </c>
      <c r="D20" s="163"/>
      <c r="E20" s="171" t="s">
        <v>319</v>
      </c>
      <c r="F20" s="171"/>
      <c r="G20" s="172"/>
    </row>
    <row r="21" spans="2:7" x14ac:dyDescent="0.3">
      <c r="B21" s="160"/>
      <c r="C21" s="164"/>
      <c r="D21" s="165"/>
      <c r="E21" s="171"/>
      <c r="F21" s="171"/>
      <c r="G21" s="172"/>
    </row>
    <row r="22" spans="2:7" x14ac:dyDescent="0.3">
      <c r="B22" s="168"/>
      <c r="C22" s="169"/>
      <c r="D22" s="170"/>
      <c r="E22" s="171"/>
      <c r="F22" s="171"/>
      <c r="G22" s="172"/>
    </row>
    <row r="23" spans="2:7" x14ac:dyDescent="0.3">
      <c r="B23" s="159" t="str">
        <f>IF(E23="","",VLOOKUP(E23,Parts_Data!$A$2:$B$102,2,FALSE))</f>
        <v>PLC in a Box</v>
      </c>
      <c r="C23" s="162" t="s">
        <v>644</v>
      </c>
      <c r="D23" s="163"/>
      <c r="E23" s="171" t="s">
        <v>193</v>
      </c>
      <c r="F23" s="171"/>
      <c r="G23" s="172"/>
    </row>
    <row r="24" spans="2:7" x14ac:dyDescent="0.3">
      <c r="B24" s="160"/>
      <c r="C24" s="164"/>
      <c r="D24" s="165"/>
      <c r="E24" s="171"/>
      <c r="F24" s="171"/>
      <c r="G24" s="172"/>
    </row>
    <row r="25" spans="2:7" x14ac:dyDescent="0.3">
      <c r="B25" s="168"/>
      <c r="C25" s="169"/>
      <c r="D25" s="170"/>
      <c r="E25" s="171"/>
      <c r="F25" s="171"/>
      <c r="G25" s="172"/>
    </row>
    <row r="26" spans="2:7" x14ac:dyDescent="0.3">
      <c r="B26" s="159" t="str">
        <f>IF(E26="","",VLOOKUP(E26,Parts_Data!$A$2:$B$102,2,FALSE))</f>
        <v>Programming Terminal</v>
      </c>
      <c r="C26" s="162" t="s">
        <v>659</v>
      </c>
      <c r="D26" s="163"/>
      <c r="E26" s="171" t="s">
        <v>188</v>
      </c>
      <c r="F26" s="171"/>
      <c r="G26" s="172"/>
    </row>
    <row r="27" spans="2:7" x14ac:dyDescent="0.3">
      <c r="B27" s="160"/>
      <c r="C27" s="164"/>
      <c r="D27" s="165"/>
      <c r="E27" s="171"/>
      <c r="F27" s="171"/>
      <c r="G27" s="172"/>
    </row>
    <row r="28" spans="2:7" x14ac:dyDescent="0.3">
      <c r="B28" s="168"/>
      <c r="C28" s="169"/>
      <c r="D28" s="170"/>
      <c r="E28" s="171"/>
      <c r="F28" s="171"/>
      <c r="G28" s="172"/>
    </row>
    <row r="29" spans="2:7" x14ac:dyDescent="0.3">
      <c r="B29" s="159" t="str">
        <f>IF(E29="","",VLOOKUP(E29,Parts_Data!$A$2:$B$102,2,FALSE))</f>
        <v>Light Curtain Reset PB</v>
      </c>
      <c r="C29" s="162" t="s">
        <v>673</v>
      </c>
      <c r="D29" s="163"/>
      <c r="E29" s="171" t="s">
        <v>314</v>
      </c>
      <c r="F29" s="171"/>
      <c r="G29" s="172"/>
    </row>
    <row r="30" spans="2:7" x14ac:dyDescent="0.3">
      <c r="B30" s="160"/>
      <c r="C30" s="164"/>
      <c r="D30" s="165"/>
      <c r="E30" s="171"/>
      <c r="F30" s="171"/>
      <c r="G30" s="172"/>
    </row>
    <row r="31" spans="2:7" x14ac:dyDescent="0.3">
      <c r="B31" s="168"/>
      <c r="C31" s="169"/>
      <c r="D31" s="170"/>
      <c r="E31" s="171"/>
      <c r="F31" s="171"/>
      <c r="G31" s="172"/>
    </row>
    <row r="32" spans="2:7" x14ac:dyDescent="0.3">
      <c r="B32" s="159" t="str">
        <f>IF(E32="","",VLOOKUP(E32,Parts_Data!$A$2:$B$102,2,FALSE))</f>
        <v>EMS Rail Power Change Over J-Box</v>
      </c>
      <c r="C32" s="162" t="s">
        <v>651</v>
      </c>
      <c r="D32" s="163"/>
      <c r="E32" s="171" t="s">
        <v>194</v>
      </c>
      <c r="F32" s="171"/>
      <c r="G32" s="172"/>
    </row>
    <row r="33" spans="2:7" x14ac:dyDescent="0.3">
      <c r="B33" s="160"/>
      <c r="C33" s="164"/>
      <c r="D33" s="165"/>
      <c r="E33" s="171"/>
      <c r="F33" s="171"/>
      <c r="G33" s="172"/>
    </row>
    <row r="34" spans="2:7" x14ac:dyDescent="0.3">
      <c r="B34" s="168"/>
      <c r="C34" s="169"/>
      <c r="D34" s="170"/>
      <c r="E34" s="171"/>
      <c r="F34" s="171"/>
      <c r="G34" s="172"/>
    </row>
    <row r="35" spans="2:7" x14ac:dyDescent="0.3">
      <c r="B35" s="159" t="str">
        <f>IF(E35="","",VLOOKUP(E35,Parts_Data!$A$2:$B$102,2,FALSE))</f>
        <v/>
      </c>
      <c r="C35" s="162"/>
      <c r="D35" s="163"/>
      <c r="E35" s="171"/>
      <c r="F35" s="171"/>
      <c r="G35" s="172"/>
    </row>
    <row r="36" spans="2:7" x14ac:dyDescent="0.3">
      <c r="B36" s="160"/>
      <c r="C36" s="164"/>
      <c r="D36" s="165"/>
      <c r="E36" s="171"/>
      <c r="F36" s="171"/>
      <c r="G36" s="172"/>
    </row>
    <row r="37" spans="2:7" x14ac:dyDescent="0.3">
      <c r="B37" s="168"/>
      <c r="C37" s="169"/>
      <c r="D37" s="170"/>
      <c r="E37" s="171"/>
      <c r="F37" s="171"/>
      <c r="G37" s="172"/>
    </row>
    <row r="38" spans="2:7" x14ac:dyDescent="0.3">
      <c r="B38" s="159" t="str">
        <f>IF(E38="","",VLOOKUP(E38,Parts_Data!$A$2:$B$102,2,FALSE))</f>
        <v/>
      </c>
      <c r="C38" s="162"/>
      <c r="D38" s="163"/>
      <c r="E38" s="171"/>
      <c r="F38" s="171"/>
      <c r="G38" s="172"/>
    </row>
    <row r="39" spans="2:7" x14ac:dyDescent="0.3">
      <c r="B39" s="160"/>
      <c r="C39" s="164"/>
      <c r="D39" s="165"/>
      <c r="E39" s="171"/>
      <c r="F39" s="171"/>
      <c r="G39" s="172"/>
    </row>
    <row r="40" spans="2:7" x14ac:dyDescent="0.3">
      <c r="B40" s="168"/>
      <c r="C40" s="169"/>
      <c r="D40" s="170"/>
      <c r="E40" s="171"/>
      <c r="F40" s="171"/>
      <c r="G40" s="172"/>
    </row>
    <row r="41" spans="2:7" x14ac:dyDescent="0.3">
      <c r="B41" s="159" t="str">
        <f>IF(E41="","",VLOOKUP(E41,Parts_Data!$A$2:$B$102,2,FALSE))</f>
        <v/>
      </c>
      <c r="C41" s="162"/>
      <c r="D41" s="163"/>
      <c r="E41" s="171"/>
      <c r="F41" s="171"/>
      <c r="G41" s="172"/>
    </row>
    <row r="42" spans="2:7" x14ac:dyDescent="0.3">
      <c r="B42" s="160"/>
      <c r="C42" s="164"/>
      <c r="D42" s="165"/>
      <c r="E42" s="171"/>
      <c r="F42" s="171"/>
      <c r="G42" s="172"/>
    </row>
    <row r="43" spans="2:7" x14ac:dyDescent="0.3">
      <c r="B43" s="168"/>
      <c r="C43" s="169"/>
      <c r="D43" s="170"/>
      <c r="E43" s="171"/>
      <c r="F43" s="171"/>
      <c r="G43" s="172"/>
    </row>
    <row r="44" spans="2:7" x14ac:dyDescent="0.3">
      <c r="B44" s="159" t="str">
        <f>IF(E44="","",VLOOKUP(E44,Parts_Data!$A$2:$B$102,2,FALSE))</f>
        <v/>
      </c>
      <c r="C44" s="162"/>
      <c r="D44" s="163"/>
      <c r="E44" s="171"/>
      <c r="F44" s="171"/>
      <c r="G44" s="172"/>
    </row>
    <row r="45" spans="2:7" x14ac:dyDescent="0.3">
      <c r="B45" s="160"/>
      <c r="C45" s="164"/>
      <c r="D45" s="165"/>
      <c r="E45" s="171"/>
      <c r="F45" s="171"/>
      <c r="G45" s="172"/>
    </row>
    <row r="46" spans="2:7" ht="15" thickBot="1" x14ac:dyDescent="0.35">
      <c r="B46" s="161"/>
      <c r="C46" s="166"/>
      <c r="D46" s="167"/>
      <c r="E46" s="173"/>
      <c r="F46" s="173"/>
      <c r="G46" s="174"/>
    </row>
  </sheetData>
  <sheetProtection algorithmName="SHA-512" hashValue="1Yb+zytxXbHpqToEgJPlxt6QnWVp+MAoBdl8CcJvr/Es8TM5SvO1PWCYTIFN6m7ngmMczKX7/BVp8d6tWqsUcA==" saltValue="vzFlTfiR5ruu99FP6/J2DQ==" spinCount="100000" sheet="1" objects="1" scenarios="1" formatCells="0" formatColumns="0" formatRows="0" selectLockedCells="1"/>
  <mergeCells count="51">
    <mergeCell ref="D9:E9"/>
    <mergeCell ref="E6:F6"/>
    <mergeCell ref="E7:F7"/>
    <mergeCell ref="B9:C9"/>
    <mergeCell ref="F9:G9"/>
    <mergeCell ref="B2:B4"/>
    <mergeCell ref="C2:G4"/>
    <mergeCell ref="B8:C8"/>
    <mergeCell ref="F8:G8"/>
    <mergeCell ref="C6:D6"/>
    <mergeCell ref="C7:D7"/>
    <mergeCell ref="D8:E8"/>
    <mergeCell ref="B41:B43"/>
    <mergeCell ref="E26:G28"/>
    <mergeCell ref="E29:G31"/>
    <mergeCell ref="E32:G34"/>
    <mergeCell ref="E17:G19"/>
    <mergeCell ref="E20:G22"/>
    <mergeCell ref="E23:G25"/>
    <mergeCell ref="C17:D19"/>
    <mergeCell ref="C20:D22"/>
    <mergeCell ref="C38:D40"/>
    <mergeCell ref="E44:G46"/>
    <mergeCell ref="C11:D11"/>
    <mergeCell ref="C10:D10"/>
    <mergeCell ref="E10:F10"/>
    <mergeCell ref="E11:F11"/>
    <mergeCell ref="C13:D13"/>
    <mergeCell ref="C14:D16"/>
    <mergeCell ref="E35:G37"/>
    <mergeCell ref="E38:G40"/>
    <mergeCell ref="E41:G43"/>
    <mergeCell ref="C41:D43"/>
    <mergeCell ref="E13:G13"/>
    <mergeCell ref="E14:G16"/>
    <mergeCell ref="B44:B46"/>
    <mergeCell ref="C44:D46"/>
    <mergeCell ref="B14:B16"/>
    <mergeCell ref="B17:B19"/>
    <mergeCell ref="B20:B22"/>
    <mergeCell ref="B23:B25"/>
    <mergeCell ref="B26:B28"/>
    <mergeCell ref="B29:B31"/>
    <mergeCell ref="B32:B34"/>
    <mergeCell ref="B35:B37"/>
    <mergeCell ref="B38:B40"/>
    <mergeCell ref="C23:D25"/>
    <mergeCell ref="C26:D28"/>
    <mergeCell ref="C29:D31"/>
    <mergeCell ref="C32:D34"/>
    <mergeCell ref="C35:D3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hisWorkbook.ProtectAllSheets">
                <anchor moveWithCells="1" sizeWithCells="1">
                  <from>
                    <xdr:col>12</xdr:col>
                    <xdr:colOff>441960</xdr:colOff>
                    <xdr:row>2</xdr:row>
                    <xdr:rowOff>83820</xdr:rowOff>
                  </from>
                  <to>
                    <xdr:col>14</xdr:col>
                    <xdr:colOff>137160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hisWorkbook.UnprotectAllSheets">
                <anchor moveWithCells="1" sizeWithCells="1">
                  <from>
                    <xdr:col>12</xdr:col>
                    <xdr:colOff>441960</xdr:colOff>
                    <xdr:row>5</xdr:row>
                    <xdr:rowOff>137160</xdr:rowOff>
                  </from>
                  <to>
                    <xdr:col>14</xdr:col>
                    <xdr:colOff>137160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3FE333-C21A-44E0-B4E5-210AE974B3FD}">
          <x14:formula1>
            <xm:f>Parts_Data!$A$3:$A$102</xm:f>
          </x14:formula1>
          <xm:sqref>E14:G46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Z43"/>
  <sheetViews>
    <sheetView showGridLines="0" topLeftCell="A13" workbookViewId="0">
      <pane xSplit="2" topLeftCell="C1" activePane="topRight" state="frozen"/>
      <selection activeCell="F25" sqref="F25"/>
      <selection pane="topRight" activeCell="G15" sqref="G15"/>
    </sheetView>
  </sheetViews>
  <sheetFormatPr defaultColWidth="11.109375" defaultRowHeight="14.4" x14ac:dyDescent="0.3"/>
  <cols>
    <col min="1" max="1" width="4.5546875" hidden="1" customWidth="1"/>
    <col min="2" max="3" width="16.44140625" bestFit="1" customWidth="1"/>
    <col min="4" max="4" width="11.5546875" bestFit="1" customWidth="1"/>
    <col min="5" max="5" width="18.6640625" customWidth="1"/>
    <col min="6" max="6" width="31.5546875" customWidth="1"/>
    <col min="7" max="7" width="19.6640625" customWidth="1"/>
    <col min="8" max="8" width="26.44140625" customWidth="1"/>
    <col min="10" max="10" width="23.6640625" customWidth="1"/>
    <col min="11" max="11" width="12.6640625" customWidth="1"/>
    <col min="12" max="12" width="19.5546875" customWidth="1"/>
    <col min="13" max="13" width="30.33203125" customWidth="1"/>
    <col min="15" max="15" width="23.6640625" customWidth="1"/>
    <col min="18" max="18" width="23.6640625" customWidth="1"/>
    <col min="20" max="20" width="23.6640625" customWidth="1"/>
    <col min="23" max="23" width="23.6640625" customWidth="1"/>
    <col min="25" max="25" width="23.6640625" customWidth="1"/>
    <col min="28" max="28" width="23.6640625" customWidth="1"/>
    <col min="30" max="30" width="23.6640625" customWidth="1"/>
    <col min="33" max="33" width="23.6640625" customWidth="1"/>
    <col min="35" max="35" width="23.6640625" customWidth="1"/>
    <col min="38" max="38" width="23.6640625" customWidth="1"/>
    <col min="40" max="40" width="23.6640625" customWidth="1"/>
    <col min="43" max="43" width="23.6640625" customWidth="1"/>
    <col min="45" max="45" width="23.6640625" customWidth="1"/>
    <col min="48" max="48" width="23.6640625" customWidth="1"/>
    <col min="50" max="50" width="23.6640625" customWidth="1"/>
    <col min="53" max="53" width="23.6640625" customWidth="1"/>
    <col min="55" max="55" width="23.6640625" customWidth="1"/>
    <col min="58" max="58" width="23.6640625" customWidth="1"/>
    <col min="60" max="60" width="23.6640625" customWidth="1"/>
    <col min="63" max="63" width="23.6640625" customWidth="1"/>
    <col min="65" max="65" width="23.6640625" customWidth="1"/>
    <col min="68" max="68" width="23.6640625" customWidth="1"/>
    <col min="70" max="70" width="23.6640625" customWidth="1"/>
    <col min="73" max="73" width="23.6640625" customWidth="1"/>
    <col min="75" max="75" width="23.6640625" customWidth="1"/>
    <col min="78" max="78" width="23.6640625" customWidth="1"/>
  </cols>
  <sheetData>
    <row r="1" spans="1:78" x14ac:dyDescent="0.3">
      <c r="C1" s="7"/>
      <c r="D1" s="7"/>
      <c r="E1" s="7"/>
      <c r="F1" s="7"/>
      <c r="G1" s="7"/>
      <c r="H1" s="7"/>
    </row>
    <row r="2" spans="1:78" x14ac:dyDescent="0.3">
      <c r="C2" s="182"/>
      <c r="D2" s="183" t="s">
        <v>250</v>
      </c>
      <c r="E2" s="183"/>
      <c r="F2" s="183"/>
      <c r="G2" s="183"/>
      <c r="H2" s="183"/>
    </row>
    <row r="3" spans="1:78" x14ac:dyDescent="0.3">
      <c r="C3" s="182"/>
      <c r="D3" s="183"/>
      <c r="E3" s="183"/>
      <c r="F3" s="183"/>
      <c r="G3" s="183"/>
      <c r="H3" s="183"/>
    </row>
    <row r="4" spans="1:78" ht="15" thickBot="1" x14ac:dyDescent="0.35">
      <c r="C4" s="182"/>
      <c r="D4" s="183"/>
      <c r="E4" s="183"/>
      <c r="F4" s="183"/>
      <c r="G4" s="183"/>
      <c r="H4" s="183"/>
    </row>
    <row r="5" spans="1:78" ht="4.5" customHeight="1" thickBot="1" x14ac:dyDescent="0.35">
      <c r="C5" s="124"/>
      <c r="D5" s="125"/>
      <c r="E5" s="125"/>
      <c r="F5" s="125"/>
      <c r="G5" s="125"/>
      <c r="H5" s="126"/>
    </row>
    <row r="6" spans="1:78" ht="18" x14ac:dyDescent="0.35">
      <c r="C6" s="38" t="s">
        <v>44</v>
      </c>
      <c r="D6" s="202" t="s">
        <v>51</v>
      </c>
      <c r="E6" s="202"/>
      <c r="F6" s="202" t="s">
        <v>48</v>
      </c>
      <c r="G6" s="202"/>
      <c r="H6" s="39" t="s">
        <v>45</v>
      </c>
    </row>
    <row r="7" spans="1:78" ht="15.6" x14ac:dyDescent="0.3">
      <c r="C7" s="79">
        <f>CoverSheet!B7</f>
        <v>44883</v>
      </c>
      <c r="D7" s="197" t="str">
        <f>CoverSheet!C7</f>
        <v>GR700</v>
      </c>
      <c r="E7" s="197"/>
      <c r="F7" s="197" t="str">
        <f>CoverSheet!E7</f>
        <v>WD-OR-VAC-GR700</v>
      </c>
      <c r="G7" s="197"/>
      <c r="H7" s="80" t="str">
        <f>CoverSheet!G7</f>
        <v>Saba Saba</v>
      </c>
    </row>
    <row r="8" spans="1:78" ht="18" x14ac:dyDescent="0.35">
      <c r="C8" s="198" t="s">
        <v>52</v>
      </c>
      <c r="D8" s="176"/>
      <c r="E8" s="176" t="s">
        <v>53</v>
      </c>
      <c r="F8" s="176"/>
      <c r="G8" s="176" t="s">
        <v>112</v>
      </c>
      <c r="H8" s="204"/>
    </row>
    <row r="9" spans="1:78" ht="15.6" x14ac:dyDescent="0.3">
      <c r="A9" t="str">
        <f>VLOOKUP(C9,Structure_Data!A3:E42,2,FALSE)</f>
        <v>_200AMP</v>
      </c>
      <c r="C9" s="199" t="s">
        <v>92</v>
      </c>
      <c r="D9" s="191"/>
      <c r="E9" s="191" t="s">
        <v>62</v>
      </c>
      <c r="F9" s="191"/>
      <c r="G9" s="191" t="s">
        <v>293</v>
      </c>
      <c r="H9" s="203"/>
    </row>
    <row r="10" spans="1:78" ht="18.600000000000001" thickBot="1" x14ac:dyDescent="0.4">
      <c r="C10" s="52"/>
      <c r="D10" s="200" t="s">
        <v>54</v>
      </c>
      <c r="E10" s="201"/>
      <c r="F10" s="196" t="str">
        <f>CONCATENATE(D7,"",G9)</f>
        <v>GR700P1</v>
      </c>
      <c r="G10" s="196"/>
      <c r="H10" s="40" t="str">
        <f>CoverSheet!G11</f>
        <v>v1.2.1</v>
      </c>
    </row>
    <row r="11" spans="1:78" ht="4.5" customHeight="1" thickBot="1" x14ac:dyDescent="0.4">
      <c r="C11" s="127"/>
      <c r="D11" s="128"/>
      <c r="E11" s="128"/>
      <c r="F11" s="128"/>
      <c r="G11" s="128"/>
      <c r="H11" s="129"/>
    </row>
    <row r="12" spans="1:78" ht="30" hidden="1" customHeight="1" thickBot="1" x14ac:dyDescent="0.35">
      <c r="D12" t="s">
        <v>133</v>
      </c>
      <c r="F12" t="s">
        <v>137</v>
      </c>
      <c r="H12" t="s">
        <v>133</v>
      </c>
      <c r="J12" t="s">
        <v>137</v>
      </c>
      <c r="M12" t="s">
        <v>133</v>
      </c>
      <c r="O12" t="s">
        <v>137</v>
      </c>
      <c r="R12" t="s">
        <v>133</v>
      </c>
      <c r="T12" t="s">
        <v>137</v>
      </c>
      <c r="W12" t="s">
        <v>133</v>
      </c>
      <c r="Y12" t="s">
        <v>137</v>
      </c>
      <c r="AB12" t="s">
        <v>133</v>
      </c>
      <c r="AD12" t="s">
        <v>137</v>
      </c>
      <c r="AG12" t="s">
        <v>133</v>
      </c>
      <c r="AI12" t="s">
        <v>137</v>
      </c>
      <c r="AL12" t="s">
        <v>133</v>
      </c>
      <c r="AN12" t="s">
        <v>137</v>
      </c>
      <c r="AS12" t="s">
        <v>137</v>
      </c>
      <c r="AX12" t="s">
        <v>137</v>
      </c>
      <c r="BC12" t="s">
        <v>137</v>
      </c>
      <c r="BH12" t="s">
        <v>137</v>
      </c>
      <c r="BM12" t="s">
        <v>137</v>
      </c>
      <c r="BR12" t="s">
        <v>137</v>
      </c>
      <c r="BW12" t="s">
        <v>137</v>
      </c>
    </row>
    <row r="13" spans="1:78" ht="54.6" thickBot="1" x14ac:dyDescent="0.35">
      <c r="A13" t="s">
        <v>55</v>
      </c>
      <c r="B13" s="5" t="s">
        <v>33</v>
      </c>
      <c r="C13" s="34" t="s">
        <v>56</v>
      </c>
      <c r="D13" s="6" t="s">
        <v>34</v>
      </c>
      <c r="E13" s="35" t="s">
        <v>35</v>
      </c>
      <c r="F13" s="6" t="s">
        <v>36</v>
      </c>
      <c r="G13" s="36" t="s">
        <v>139</v>
      </c>
      <c r="H13" s="35" t="s">
        <v>35</v>
      </c>
      <c r="I13" s="6" t="s">
        <v>34</v>
      </c>
      <c r="J13" s="35" t="s">
        <v>35</v>
      </c>
      <c r="K13" s="6" t="s">
        <v>37</v>
      </c>
      <c r="L13" s="36" t="s">
        <v>140</v>
      </c>
      <c r="M13" s="35" t="s">
        <v>35</v>
      </c>
      <c r="N13" s="6" t="s">
        <v>34</v>
      </c>
      <c r="O13" s="35" t="s">
        <v>35</v>
      </c>
      <c r="P13" s="6" t="s">
        <v>38</v>
      </c>
      <c r="Q13" s="36" t="s">
        <v>141</v>
      </c>
      <c r="R13" s="35" t="s">
        <v>35</v>
      </c>
      <c r="S13" s="6" t="s">
        <v>34</v>
      </c>
      <c r="T13" s="35" t="s">
        <v>35</v>
      </c>
      <c r="U13" s="6" t="s">
        <v>39</v>
      </c>
      <c r="V13" s="36" t="s">
        <v>142</v>
      </c>
      <c r="W13" s="35" t="s">
        <v>35</v>
      </c>
      <c r="X13" s="6" t="s">
        <v>34</v>
      </c>
      <c r="Y13" s="35" t="s">
        <v>35</v>
      </c>
      <c r="Z13" s="6" t="s">
        <v>40</v>
      </c>
      <c r="AA13" s="36" t="s">
        <v>143</v>
      </c>
      <c r="AB13" s="35" t="s">
        <v>35</v>
      </c>
      <c r="AC13" s="6" t="s">
        <v>34</v>
      </c>
      <c r="AD13" s="35" t="s">
        <v>35</v>
      </c>
      <c r="AE13" s="6" t="s">
        <v>41</v>
      </c>
      <c r="AF13" s="36" t="s">
        <v>144</v>
      </c>
      <c r="AG13" s="35" t="s">
        <v>35</v>
      </c>
      <c r="AH13" s="6" t="s">
        <v>34</v>
      </c>
      <c r="AI13" s="35" t="s">
        <v>35</v>
      </c>
      <c r="AJ13" s="6" t="s">
        <v>42</v>
      </c>
      <c r="AK13" s="36" t="s">
        <v>145</v>
      </c>
      <c r="AL13" s="35" t="s">
        <v>35</v>
      </c>
      <c r="AM13" s="6" t="s">
        <v>34</v>
      </c>
      <c r="AN13" s="35" t="s">
        <v>35</v>
      </c>
      <c r="AO13" s="6" t="s">
        <v>43</v>
      </c>
      <c r="AP13" s="36" t="s">
        <v>146</v>
      </c>
      <c r="AQ13" s="35" t="s">
        <v>35</v>
      </c>
      <c r="AR13" s="6" t="s">
        <v>34</v>
      </c>
      <c r="AS13" s="35" t="s">
        <v>35</v>
      </c>
      <c r="AT13" s="6" t="s">
        <v>212</v>
      </c>
      <c r="AU13" s="36" t="s">
        <v>213</v>
      </c>
      <c r="AV13" s="35" t="s">
        <v>35</v>
      </c>
      <c r="AW13" s="6" t="s">
        <v>34</v>
      </c>
      <c r="AX13" s="35" t="s">
        <v>35</v>
      </c>
      <c r="AY13" s="6" t="s">
        <v>214</v>
      </c>
      <c r="AZ13" s="36" t="s">
        <v>215</v>
      </c>
      <c r="BA13" s="35" t="s">
        <v>35</v>
      </c>
      <c r="BB13" s="6" t="s">
        <v>34</v>
      </c>
      <c r="BC13" s="35" t="s">
        <v>35</v>
      </c>
      <c r="BD13" s="6" t="s">
        <v>216</v>
      </c>
      <c r="BE13" s="36" t="s">
        <v>217</v>
      </c>
      <c r="BF13" s="35" t="s">
        <v>35</v>
      </c>
      <c r="BG13" s="6" t="s">
        <v>34</v>
      </c>
      <c r="BH13" s="35" t="s">
        <v>35</v>
      </c>
      <c r="BI13" s="6" t="s">
        <v>218</v>
      </c>
      <c r="BJ13" s="36" t="s">
        <v>219</v>
      </c>
      <c r="BK13" s="35" t="s">
        <v>35</v>
      </c>
      <c r="BL13" s="6" t="s">
        <v>34</v>
      </c>
      <c r="BM13" s="35" t="s">
        <v>35</v>
      </c>
      <c r="BN13" s="6" t="s">
        <v>220</v>
      </c>
      <c r="BO13" s="36" t="s">
        <v>221</v>
      </c>
      <c r="BP13" s="35" t="s">
        <v>35</v>
      </c>
      <c r="BQ13" s="6" t="s">
        <v>34</v>
      </c>
      <c r="BR13" s="35" t="s">
        <v>35</v>
      </c>
      <c r="BS13" s="6" t="s">
        <v>222</v>
      </c>
      <c r="BT13" s="36" t="s">
        <v>223</v>
      </c>
      <c r="BU13" s="35" t="s">
        <v>35</v>
      </c>
      <c r="BV13" s="6" t="s">
        <v>34</v>
      </c>
      <c r="BW13" s="35" t="s">
        <v>35</v>
      </c>
      <c r="BX13" s="6" t="s">
        <v>224</v>
      </c>
      <c r="BY13" s="36" t="s">
        <v>225</v>
      </c>
      <c r="BZ13" s="35" t="s">
        <v>35</v>
      </c>
    </row>
    <row r="14" spans="1:78" ht="15.6" x14ac:dyDescent="0.3">
      <c r="A14" t="str">
        <f>VLOOKUP($E$9,Structure_Data!$E$3:$AJ$35,3,FALSE)</f>
        <v>x</v>
      </c>
      <c r="B14" s="32" t="str">
        <f>IF(A14="x",VLOOKUP($A$9,Structure_Data!$E$3:$AJ$35,3,FALSE),"")</f>
        <v>E152</v>
      </c>
      <c r="C14" s="17"/>
      <c r="D14" s="62"/>
      <c r="E14" s="33" t="str">
        <f>IF(D14="","",VLOOKUP(D14,Parts_Data!$D$2:$E$102,2,FALSE))</f>
        <v/>
      </c>
      <c r="F14" s="62"/>
      <c r="G14" s="66"/>
      <c r="H14" s="33" t="str">
        <f>IF(F14="","",VLOOKUP(F14,Parts_Data!$H$2:$I$102,2,FALSE))</f>
        <v/>
      </c>
      <c r="I14" s="62"/>
      <c r="J14" s="33" t="str">
        <f>IF(I14="","",VLOOKUP(I14,Parts_Data!$D$2:$E$102,2,FALSE))</f>
        <v/>
      </c>
      <c r="K14" s="62"/>
      <c r="L14" s="66"/>
      <c r="M14" s="33" t="str">
        <f>IF(K14="","",VLOOKUP(K14,Parts_Data!$H$2:$I$102,2,FALSE))</f>
        <v/>
      </c>
      <c r="N14" s="62"/>
      <c r="O14" s="33" t="str">
        <f>IF(N14="","",VLOOKUP(N14,Parts_Data!$D$2:$E$102,2,FALSE))</f>
        <v/>
      </c>
      <c r="P14" s="62"/>
      <c r="Q14" s="66"/>
      <c r="R14" s="33" t="str">
        <f>IF(P14="","",VLOOKUP(P14,Parts_Data!$H$2:$I$102,2,FALSE))</f>
        <v/>
      </c>
      <c r="S14" s="62"/>
      <c r="T14" s="33" t="str">
        <f>IF(S14="","",VLOOKUP(S14,Parts_Data!$D$2:$E$102,2,FALSE))</f>
        <v/>
      </c>
      <c r="U14" s="62"/>
      <c r="V14" s="66"/>
      <c r="W14" s="33" t="str">
        <f>IF(U14="","",VLOOKUP(U14,Parts_Data!$H$2:$I$102,2,FALSE))</f>
        <v/>
      </c>
      <c r="X14" s="62"/>
      <c r="Y14" s="33" t="str">
        <f>IF(X14="","",VLOOKUP(X14,Parts_Data!$D$2:$E$102,2,FALSE))</f>
        <v/>
      </c>
      <c r="Z14" s="62"/>
      <c r="AA14" s="66"/>
      <c r="AB14" s="33" t="str">
        <f>IF(Z14="","",VLOOKUP(Z14,Parts_Data!$H$2:$I$102,2,FALSE))</f>
        <v/>
      </c>
      <c r="AC14" s="62"/>
      <c r="AD14" s="33" t="str">
        <f>IF(AC14="","",VLOOKUP(AC14,Parts_Data!$D$2:$E$102,2,FALSE))</f>
        <v/>
      </c>
      <c r="AE14" s="62"/>
      <c r="AF14" s="66"/>
      <c r="AG14" s="33" t="str">
        <f>IF(AE14="","",VLOOKUP(AE14,Parts_Data!$H$2:$I$102,2,FALSE))</f>
        <v/>
      </c>
      <c r="AH14" s="62"/>
      <c r="AI14" s="33" t="str">
        <f>IF(AH14="","",VLOOKUP(AH14,Parts_Data!$D$2:$E$102,2,FALSE))</f>
        <v/>
      </c>
      <c r="AJ14" s="62"/>
      <c r="AK14" s="66"/>
      <c r="AL14" s="33" t="str">
        <f>IF(AJ14="","",VLOOKUP(AJ14,Parts_Data!$H$2:$I$102,2,FALSE))</f>
        <v/>
      </c>
      <c r="AM14" s="62"/>
      <c r="AN14" s="33" t="str">
        <f>IF(AM14="","",VLOOKUP(AM14,Parts_Data!$D$2:$E$102,2,FALSE))</f>
        <v/>
      </c>
      <c r="AO14" s="62"/>
      <c r="AP14" s="66"/>
      <c r="AQ14" s="33" t="str">
        <f>IF(AO14="","",VLOOKUP(AO14,Parts_Data!$H$2:$I$102,2,FALSE))</f>
        <v/>
      </c>
      <c r="AR14" s="62"/>
      <c r="AS14" s="33" t="str">
        <f>IF(AR14="","",VLOOKUP(AR14,Parts_Data!$D$2:$E$102,2,FALSE))</f>
        <v/>
      </c>
      <c r="AT14" s="62"/>
      <c r="AU14" s="66"/>
      <c r="AV14" s="33" t="str">
        <f>IF(AT14="","",VLOOKUP(AT14,Parts_Data!$H$2:$I$102,2,FALSE))</f>
        <v/>
      </c>
      <c r="AW14" s="62"/>
      <c r="AX14" s="33" t="str">
        <f>IF(AW14="","",VLOOKUP(AW14,Parts_Data!$D$2:$E$102,2,FALSE))</f>
        <v/>
      </c>
      <c r="AY14" s="62"/>
      <c r="AZ14" s="66"/>
      <c r="BA14" s="33" t="str">
        <f>IF(AY14="","",VLOOKUP(AY14,Parts_Data!$H$2:$I$102,2,FALSE))</f>
        <v/>
      </c>
      <c r="BB14" s="62"/>
      <c r="BC14" s="33" t="str">
        <f>IF(BB14="","",VLOOKUP(BB14,Parts_Data!$D$2:$E$102,2,FALSE))</f>
        <v/>
      </c>
      <c r="BD14" s="62"/>
      <c r="BE14" s="66"/>
      <c r="BF14" s="33" t="str">
        <f>IF(BD14="","",VLOOKUP(BD14,Parts_Data!$H$2:$I$102,2,FALSE))</f>
        <v/>
      </c>
      <c r="BG14" s="62"/>
      <c r="BH14" s="33" t="str">
        <f>IF(BG14="","",VLOOKUP(BG14,Parts_Data!$D$2:$E$102,2,FALSE))</f>
        <v/>
      </c>
      <c r="BI14" s="62"/>
      <c r="BJ14" s="66"/>
      <c r="BK14" s="33" t="str">
        <f>IF(BI14="","",VLOOKUP(BI14,Parts_Data!$H$2:$I$102,2,FALSE))</f>
        <v/>
      </c>
      <c r="BL14" s="62"/>
      <c r="BM14" s="33" t="str">
        <f>IF(BL14="","",VLOOKUP(BL14,Parts_Data!$D$2:$E$102,2,FALSE))</f>
        <v/>
      </c>
      <c r="BN14" s="62"/>
      <c r="BO14" s="66"/>
      <c r="BP14" s="33" t="str">
        <f>IF(BN14="","",VLOOKUP(BN14,Parts_Data!$H$2:$I$102,2,FALSE))</f>
        <v/>
      </c>
      <c r="BQ14" s="62"/>
      <c r="BR14" s="33" t="str">
        <f>IF(BQ14="","",VLOOKUP(BQ14,Parts_Data!$D$2:$E$102,2,FALSE))</f>
        <v/>
      </c>
      <c r="BS14" s="62"/>
      <c r="BT14" s="66"/>
      <c r="BU14" s="33" t="str">
        <f>IF(BS14="","",VLOOKUP(BS14,Parts_Data!$H$2:$I$102,2,FALSE))</f>
        <v/>
      </c>
      <c r="BV14" s="62"/>
      <c r="BW14" s="33" t="str">
        <f>IF(BV14="","",VLOOKUP(BV14,Parts_Data!$D$2:$E$102,2,FALSE))</f>
        <v/>
      </c>
      <c r="BX14" s="62"/>
      <c r="BY14" s="66"/>
      <c r="BZ14" s="33" t="str">
        <f>IF(BX14="","",VLOOKUP(BX14,Parts_Data!$H$2:$I$102,2,FALSE))</f>
        <v/>
      </c>
    </row>
    <row r="15" spans="1:78" ht="15.6" x14ac:dyDescent="0.3">
      <c r="A15" t="str">
        <f>VLOOKUP($E$9,Structure_Data!$E$3:$AJ$35,4,FALSE)</f>
        <v>x</v>
      </c>
      <c r="B15" s="30" t="str">
        <f>IF(A15="x",VLOOKUP($A$9,Structure_Data!$E$3:$AJ$35,4,FALSE),"")</f>
        <v>E158</v>
      </c>
      <c r="C15" s="18" t="s">
        <v>89</v>
      </c>
      <c r="D15" s="63"/>
      <c r="E15" s="27" t="str">
        <f>IF(D15="","",VLOOKUP(D15,Parts_Data!$D$2:$E$102,2,FALSE))</f>
        <v/>
      </c>
      <c r="F15" s="63" t="s">
        <v>379</v>
      </c>
      <c r="G15" s="67" t="s">
        <v>674</v>
      </c>
      <c r="H15" s="27" t="str">
        <f>IF(F15="","",VLOOKUP(F15,Parts_Data!$H$2:$I$102,2,FALSE))</f>
        <v>HU361AWK-EIVW</v>
      </c>
      <c r="I15" s="63"/>
      <c r="J15" s="27" t="str">
        <f>IF(I15="","",VLOOKUP(I15,Parts_Data!$D$2:$E$102,2,FALSE))</f>
        <v/>
      </c>
      <c r="K15" s="63" t="s">
        <v>380</v>
      </c>
      <c r="L15" s="67" t="s">
        <v>655</v>
      </c>
      <c r="M15" s="27" t="str">
        <f>IF(K15="","",VLOOKUP(K15,Parts_Data!$H$2:$I$102,2,FALSE))</f>
        <v>EC-G16-EMS-PCO-7BUSRAIL</v>
      </c>
      <c r="N15" s="63"/>
      <c r="O15" s="27" t="str">
        <f>IF(N15="","",VLOOKUP(N15,Parts_Data!$D$2:$E$102,2,FALSE))</f>
        <v/>
      </c>
      <c r="P15" s="63"/>
      <c r="Q15" s="67"/>
      <c r="R15" s="27" t="str">
        <f>IF(P15="","",VLOOKUP(P15,Parts_Data!$H$2:$I$102,2,FALSE))</f>
        <v/>
      </c>
      <c r="S15" s="63"/>
      <c r="T15" s="27" t="str">
        <f>IF(S15="","",VLOOKUP(S15,Parts_Data!$D$2:$E$102,2,FALSE))</f>
        <v/>
      </c>
      <c r="U15" s="63"/>
      <c r="V15" s="67"/>
      <c r="W15" s="27" t="str">
        <f>IF(U15="","",VLOOKUP(U15,Parts_Data!$H$2:$I$102,2,FALSE))</f>
        <v/>
      </c>
      <c r="X15" s="63"/>
      <c r="Y15" s="27" t="str">
        <f>IF(X15="","",VLOOKUP(X15,Parts_Data!$D$2:$E$102,2,FALSE))</f>
        <v/>
      </c>
      <c r="Z15" s="63"/>
      <c r="AA15" s="67"/>
      <c r="AB15" s="27" t="str">
        <f>IF(Z15="","",VLOOKUP(Z15,Parts_Data!$H$2:$I$102,2,FALSE))</f>
        <v/>
      </c>
      <c r="AC15" s="63"/>
      <c r="AD15" s="27" t="str">
        <f>IF(AC15="","",VLOOKUP(AC15,Parts_Data!$D$2:$E$102,2,FALSE))</f>
        <v/>
      </c>
      <c r="AE15" s="63"/>
      <c r="AF15" s="67"/>
      <c r="AG15" s="27" t="str">
        <f>IF(AE15="","",VLOOKUP(AE15,Parts_Data!$H$2:$I$102,2,FALSE))</f>
        <v/>
      </c>
      <c r="AH15" s="63"/>
      <c r="AI15" s="27" t="str">
        <f>IF(AH15="","",VLOOKUP(AH15,Parts_Data!$D$2:$E$102,2,FALSE))</f>
        <v/>
      </c>
      <c r="AJ15" s="63"/>
      <c r="AK15" s="67"/>
      <c r="AL15" s="27" t="str">
        <f>IF(AJ15="","",VLOOKUP(AJ15,Parts_Data!$H$2:$I$102,2,FALSE))</f>
        <v/>
      </c>
      <c r="AM15" s="63"/>
      <c r="AN15" s="27" t="str">
        <f>IF(AM15="","",VLOOKUP(AM15,Parts_Data!$D$2:$E$102,2,FALSE))</f>
        <v/>
      </c>
      <c r="AO15" s="63"/>
      <c r="AP15" s="67"/>
      <c r="AQ15" s="27" t="str">
        <f>IF(AO15="","",VLOOKUP(AO15,Parts_Data!$H$2:$I$102,2,FALSE))</f>
        <v/>
      </c>
      <c r="AR15" s="63"/>
      <c r="AS15" s="27" t="str">
        <f>IF(AR15="","",VLOOKUP(AR15,Parts_Data!$D$2:$E$102,2,FALSE))</f>
        <v/>
      </c>
      <c r="AT15" s="63"/>
      <c r="AU15" s="67"/>
      <c r="AV15" s="27" t="str">
        <f>IF(AT15="","",VLOOKUP(AT15,Parts_Data!$H$2:$I$102,2,FALSE))</f>
        <v/>
      </c>
      <c r="AW15" s="63"/>
      <c r="AX15" s="27" t="str">
        <f>IF(AW15="","",VLOOKUP(AW15,Parts_Data!$D$2:$E$102,2,FALSE))</f>
        <v/>
      </c>
      <c r="AY15" s="63"/>
      <c r="AZ15" s="67"/>
      <c r="BA15" s="27" t="str">
        <f>IF(AY15="","",VLOOKUP(AY15,Parts_Data!$H$2:$I$102,2,FALSE))</f>
        <v/>
      </c>
      <c r="BB15" s="63"/>
      <c r="BC15" s="27" t="str">
        <f>IF(BB15="","",VLOOKUP(BB15,Parts_Data!$D$2:$E$102,2,FALSE))</f>
        <v/>
      </c>
      <c r="BD15" s="63"/>
      <c r="BE15" s="67"/>
      <c r="BF15" s="27" t="str">
        <f>IF(BD15="","",VLOOKUP(BD15,Parts_Data!$H$2:$I$102,2,FALSE))</f>
        <v/>
      </c>
      <c r="BG15" s="63"/>
      <c r="BH15" s="27" t="str">
        <f>IF(BG15="","",VLOOKUP(BG15,Parts_Data!$D$2:$E$102,2,FALSE))</f>
        <v/>
      </c>
      <c r="BI15" s="63"/>
      <c r="BJ15" s="67"/>
      <c r="BK15" s="27" t="str">
        <f>IF(BI15="","",VLOOKUP(BI15,Parts_Data!$H$2:$I$102,2,FALSE))</f>
        <v/>
      </c>
      <c r="BL15" s="63"/>
      <c r="BM15" s="27" t="str">
        <f>IF(BL15="","",VLOOKUP(BL15,Parts_Data!$D$2:$E$102,2,FALSE))</f>
        <v/>
      </c>
      <c r="BN15" s="63"/>
      <c r="BO15" s="67"/>
      <c r="BP15" s="27" t="str">
        <f>IF(BN15="","",VLOOKUP(BN15,Parts_Data!$H$2:$I$102,2,FALSE))</f>
        <v/>
      </c>
      <c r="BQ15" s="63"/>
      <c r="BR15" s="27" t="str">
        <f>IF(BQ15="","",VLOOKUP(BQ15,Parts_Data!$D$2:$E$102,2,FALSE))</f>
        <v/>
      </c>
      <c r="BS15" s="63"/>
      <c r="BT15" s="67"/>
      <c r="BU15" s="27" t="str">
        <f>IF(BS15="","",VLOOKUP(BS15,Parts_Data!$H$2:$I$102,2,FALSE))</f>
        <v/>
      </c>
      <c r="BV15" s="63"/>
      <c r="BW15" s="27" t="str">
        <f>IF(BV15="","",VLOOKUP(BV15,Parts_Data!$D$2:$E$102,2,FALSE))</f>
        <v/>
      </c>
      <c r="BX15" s="63"/>
      <c r="BY15" s="67"/>
      <c r="BZ15" s="27" t="str">
        <f>IF(BX15="","",VLOOKUP(BX15,Parts_Data!$H$2:$I$102,2,FALSE))</f>
        <v/>
      </c>
    </row>
    <row r="16" spans="1:78" ht="15.6" x14ac:dyDescent="0.3">
      <c r="A16" t="str">
        <f>VLOOKUP($E$9,Structure_Data!$E$3:$AJ$35,5,FALSE)</f>
        <v>x</v>
      </c>
      <c r="B16" s="30" t="str">
        <f>IF(A16="x",VLOOKUP($A$9,Structure_Data!$E$3:$AJ$35,5,FALSE),"")</f>
        <v>E164</v>
      </c>
      <c r="C16" s="19" t="s">
        <v>89</v>
      </c>
      <c r="D16" s="64"/>
      <c r="E16" s="26" t="str">
        <f>IF(D16="","",VLOOKUP(D16,Parts_Data!$D$2:$E$102,2,FALSE))</f>
        <v/>
      </c>
      <c r="F16" s="64" t="s">
        <v>375</v>
      </c>
      <c r="G16" s="68" t="s">
        <v>660</v>
      </c>
      <c r="H16" s="26" t="str">
        <f>IF(F16="","",VLOOKUP(F16,Parts_Data!$H$2:$I$102,2,FALSE))</f>
        <v>AKE 169 462</v>
      </c>
      <c r="I16" s="64"/>
      <c r="J16" s="26" t="str">
        <f>IF(I16="","",VLOOKUP(I16,Parts_Data!$D$2:$E$102,2,FALSE))</f>
        <v/>
      </c>
      <c r="K16" s="64"/>
      <c r="L16" s="68"/>
      <c r="M16" s="26" t="str">
        <f>IF(K16="","",VLOOKUP(K16,Parts_Data!$H$2:$I$102,2,FALSE))</f>
        <v/>
      </c>
      <c r="N16" s="64"/>
      <c r="O16" s="26" t="str">
        <f>IF(N16="","",VLOOKUP(N16,Parts_Data!$D$2:$E$102,2,FALSE))</f>
        <v/>
      </c>
      <c r="P16" s="64"/>
      <c r="Q16" s="68"/>
      <c r="R16" s="26" t="str">
        <f>IF(P16="","",VLOOKUP(P16,Parts_Data!$H$2:$I$102,2,FALSE))</f>
        <v/>
      </c>
      <c r="S16" s="64"/>
      <c r="T16" s="26" t="str">
        <f>IF(S16="","",VLOOKUP(S16,Parts_Data!$D$2:$E$102,2,FALSE))</f>
        <v/>
      </c>
      <c r="U16" s="64"/>
      <c r="V16" s="68"/>
      <c r="W16" s="26" t="str">
        <f>IF(U16="","",VLOOKUP(U16,Parts_Data!$H$2:$I$102,2,FALSE))</f>
        <v/>
      </c>
      <c r="X16" s="64"/>
      <c r="Y16" s="26" t="str">
        <f>IF(X16="","",VLOOKUP(X16,Parts_Data!$D$2:$E$102,2,FALSE))</f>
        <v/>
      </c>
      <c r="Z16" s="64"/>
      <c r="AA16" s="68"/>
      <c r="AB16" s="26" t="str">
        <f>IF(Z16="","",VLOOKUP(Z16,Parts_Data!$H$2:$I$102,2,FALSE))</f>
        <v/>
      </c>
      <c r="AC16" s="64"/>
      <c r="AD16" s="26" t="str">
        <f>IF(AC16="","",VLOOKUP(AC16,Parts_Data!$D$2:$E$102,2,FALSE))</f>
        <v/>
      </c>
      <c r="AE16" s="64"/>
      <c r="AF16" s="68"/>
      <c r="AG16" s="26" t="str">
        <f>IF(AE16="","",VLOOKUP(AE16,Parts_Data!$H$2:$I$102,2,FALSE))</f>
        <v/>
      </c>
      <c r="AH16" s="64"/>
      <c r="AI16" s="26" t="str">
        <f>IF(AH16="","",VLOOKUP(AH16,Parts_Data!$D$2:$E$102,2,FALSE))</f>
        <v/>
      </c>
      <c r="AJ16" s="64"/>
      <c r="AK16" s="68"/>
      <c r="AL16" s="26" t="str">
        <f>IF(AJ16="","",VLOOKUP(AJ16,Parts_Data!$H$2:$I$102,2,FALSE))</f>
        <v/>
      </c>
      <c r="AM16" s="64"/>
      <c r="AN16" s="26" t="str">
        <f>IF(AM16="","",VLOOKUP(AM16,Parts_Data!$D$2:$E$102,2,FALSE))</f>
        <v/>
      </c>
      <c r="AO16" s="64"/>
      <c r="AP16" s="68"/>
      <c r="AQ16" s="26" t="str">
        <f>IF(AO16="","",VLOOKUP(AO16,Parts_Data!$H$2:$I$102,2,FALSE))</f>
        <v/>
      </c>
      <c r="AR16" s="64"/>
      <c r="AS16" s="26" t="str">
        <f>IF(AR16="","",VLOOKUP(AR16,Parts_Data!$D$2:$E$102,2,FALSE))</f>
        <v/>
      </c>
      <c r="AT16" s="64"/>
      <c r="AU16" s="68"/>
      <c r="AV16" s="26" t="str">
        <f>IF(AT16="","",VLOOKUP(AT16,Parts_Data!$H$2:$I$102,2,FALSE))</f>
        <v/>
      </c>
      <c r="AW16" s="64"/>
      <c r="AX16" s="26" t="str">
        <f>IF(AW16="","",VLOOKUP(AW16,Parts_Data!$D$2:$E$102,2,FALSE))</f>
        <v/>
      </c>
      <c r="AY16" s="64"/>
      <c r="AZ16" s="68"/>
      <c r="BA16" s="26" t="str">
        <f>IF(AY16="","",VLOOKUP(AY16,Parts_Data!$H$2:$I$102,2,FALSE))</f>
        <v/>
      </c>
      <c r="BB16" s="64"/>
      <c r="BC16" s="26" t="str">
        <f>IF(BB16="","",VLOOKUP(BB16,Parts_Data!$D$2:$E$102,2,FALSE))</f>
        <v/>
      </c>
      <c r="BD16" s="64"/>
      <c r="BE16" s="68"/>
      <c r="BF16" s="26" t="str">
        <f>IF(BD16="","",VLOOKUP(BD16,Parts_Data!$H$2:$I$102,2,FALSE))</f>
        <v/>
      </c>
      <c r="BG16" s="64"/>
      <c r="BH16" s="26" t="str">
        <f>IF(BG16="","",VLOOKUP(BG16,Parts_Data!$D$2:$E$102,2,FALSE))</f>
        <v/>
      </c>
      <c r="BI16" s="64"/>
      <c r="BJ16" s="68"/>
      <c r="BK16" s="26" t="str">
        <f>IF(BI16="","",VLOOKUP(BI16,Parts_Data!$H$2:$I$102,2,FALSE))</f>
        <v/>
      </c>
      <c r="BL16" s="64"/>
      <c r="BM16" s="26" t="str">
        <f>IF(BL16="","",VLOOKUP(BL16,Parts_Data!$D$2:$E$102,2,FALSE))</f>
        <v/>
      </c>
      <c r="BN16" s="64"/>
      <c r="BO16" s="68"/>
      <c r="BP16" s="26" t="str">
        <f>IF(BN16="","",VLOOKUP(BN16,Parts_Data!$H$2:$I$102,2,FALSE))</f>
        <v/>
      </c>
      <c r="BQ16" s="64"/>
      <c r="BR16" s="26" t="str">
        <f>IF(BQ16="","",VLOOKUP(BQ16,Parts_Data!$D$2:$E$102,2,FALSE))</f>
        <v/>
      </c>
      <c r="BS16" s="64"/>
      <c r="BT16" s="68"/>
      <c r="BU16" s="26" t="str">
        <f>IF(BS16="","",VLOOKUP(BS16,Parts_Data!$H$2:$I$102,2,FALSE))</f>
        <v/>
      </c>
      <c r="BV16" s="64"/>
      <c r="BW16" s="26" t="str">
        <f>IF(BV16="","",VLOOKUP(BV16,Parts_Data!$D$2:$E$102,2,FALSE))</f>
        <v/>
      </c>
      <c r="BX16" s="64"/>
      <c r="BY16" s="68"/>
      <c r="BZ16" s="26" t="str">
        <f>IF(BX16="","",VLOOKUP(BX16,Parts_Data!$H$2:$I$102,2,FALSE))</f>
        <v/>
      </c>
    </row>
    <row r="17" spans="1:78" ht="15.6" x14ac:dyDescent="0.3">
      <c r="A17" t="str">
        <f>VLOOKUP($E$9,Structure_Data!$E$3:$AJ$35,6,FALSE)</f>
        <v>x</v>
      </c>
      <c r="B17" s="30" t="str">
        <f>IF(A17="x",VLOOKUP($A$9,Structure_Data!$E$3:$AJ$35,6,FALSE),"")</f>
        <v>E170</v>
      </c>
      <c r="C17" s="18" t="s">
        <v>89</v>
      </c>
      <c r="D17" s="63"/>
      <c r="E17" s="27" t="str">
        <f>IF(D17="","",VLOOKUP(D17,Parts_Data!$D$2:$E$102,2,FALSE))</f>
        <v/>
      </c>
      <c r="F17" s="63" t="s">
        <v>375</v>
      </c>
      <c r="G17" s="67" t="s">
        <v>661</v>
      </c>
      <c r="H17" s="27" t="str">
        <f>IF(F17="","",VLOOKUP(F17,Parts_Data!$H$2:$I$102,2,FALSE))</f>
        <v>AKE 169 462</v>
      </c>
      <c r="I17" s="63"/>
      <c r="J17" s="27" t="str">
        <f>IF(I17="","",VLOOKUP(I17,Parts_Data!$D$2:$E$102,2,FALSE))</f>
        <v/>
      </c>
      <c r="K17" s="63"/>
      <c r="L17" s="67"/>
      <c r="M17" s="27" t="str">
        <f>IF(K17="","",VLOOKUP(K17,Parts_Data!$H$2:$I$102,2,FALSE))</f>
        <v/>
      </c>
      <c r="N17" s="63"/>
      <c r="O17" s="27" t="str">
        <f>IF(N17="","",VLOOKUP(N17,Parts_Data!$D$2:$E$102,2,FALSE))</f>
        <v/>
      </c>
      <c r="P17" s="63"/>
      <c r="Q17" s="67"/>
      <c r="R17" s="27" t="str">
        <f>IF(P17="","",VLOOKUP(P17,Parts_Data!$H$2:$I$102,2,FALSE))</f>
        <v/>
      </c>
      <c r="S17" s="63"/>
      <c r="T17" s="27" t="str">
        <f>IF(S17="","",VLOOKUP(S17,Parts_Data!$D$2:$E$102,2,FALSE))</f>
        <v/>
      </c>
      <c r="U17" s="63"/>
      <c r="V17" s="67"/>
      <c r="W17" s="27" t="str">
        <f>IF(U17="","",VLOOKUP(U17,Parts_Data!$H$2:$I$102,2,FALSE))</f>
        <v/>
      </c>
      <c r="X17" s="63"/>
      <c r="Y17" s="27" t="str">
        <f>IF(X17="","",VLOOKUP(X17,Parts_Data!$D$2:$E$102,2,FALSE))</f>
        <v/>
      </c>
      <c r="Z17" s="63"/>
      <c r="AA17" s="67"/>
      <c r="AB17" s="27" t="str">
        <f>IF(Z17="","",VLOOKUP(Z17,Parts_Data!$H$2:$I$102,2,FALSE))</f>
        <v/>
      </c>
      <c r="AC17" s="63"/>
      <c r="AD17" s="27" t="str">
        <f>IF(AC17="","",VLOOKUP(AC17,Parts_Data!$D$2:$E$102,2,FALSE))</f>
        <v/>
      </c>
      <c r="AE17" s="63"/>
      <c r="AF17" s="67"/>
      <c r="AG17" s="27" t="str">
        <f>IF(AE17="","",VLOOKUP(AE17,Parts_Data!$H$2:$I$102,2,FALSE))</f>
        <v/>
      </c>
      <c r="AH17" s="63"/>
      <c r="AI17" s="27" t="str">
        <f>IF(AH17="","",VLOOKUP(AH17,Parts_Data!$D$2:$E$102,2,FALSE))</f>
        <v/>
      </c>
      <c r="AJ17" s="63"/>
      <c r="AK17" s="67"/>
      <c r="AL17" s="27" t="str">
        <f>IF(AJ17="","",VLOOKUP(AJ17,Parts_Data!$H$2:$I$102,2,FALSE))</f>
        <v/>
      </c>
      <c r="AM17" s="63"/>
      <c r="AN17" s="27" t="str">
        <f>IF(AM17="","",VLOOKUP(AM17,Parts_Data!$D$2:$E$102,2,FALSE))</f>
        <v/>
      </c>
      <c r="AO17" s="63"/>
      <c r="AP17" s="67"/>
      <c r="AQ17" s="27" t="str">
        <f>IF(AO17="","",VLOOKUP(AO17,Parts_Data!$H$2:$I$102,2,FALSE))</f>
        <v/>
      </c>
      <c r="AR17" s="63"/>
      <c r="AS17" s="27" t="str">
        <f>IF(AR17="","",VLOOKUP(AR17,Parts_Data!$D$2:$E$102,2,FALSE))</f>
        <v/>
      </c>
      <c r="AT17" s="63"/>
      <c r="AU17" s="67"/>
      <c r="AV17" s="27" t="str">
        <f>IF(AT17="","",VLOOKUP(AT17,Parts_Data!$H$2:$I$102,2,FALSE))</f>
        <v/>
      </c>
      <c r="AW17" s="63"/>
      <c r="AX17" s="27" t="str">
        <f>IF(AW17="","",VLOOKUP(AW17,Parts_Data!$D$2:$E$102,2,FALSE))</f>
        <v/>
      </c>
      <c r="AY17" s="63"/>
      <c r="AZ17" s="67"/>
      <c r="BA17" s="27" t="str">
        <f>IF(AY17="","",VLOOKUP(AY17,Parts_Data!$H$2:$I$102,2,FALSE))</f>
        <v/>
      </c>
      <c r="BB17" s="63"/>
      <c r="BC17" s="27" t="str">
        <f>IF(BB17="","",VLOOKUP(BB17,Parts_Data!$D$2:$E$102,2,FALSE))</f>
        <v/>
      </c>
      <c r="BD17" s="63"/>
      <c r="BE17" s="67"/>
      <c r="BF17" s="27" t="str">
        <f>IF(BD17="","",VLOOKUP(BD17,Parts_Data!$H$2:$I$102,2,FALSE))</f>
        <v/>
      </c>
      <c r="BG17" s="63"/>
      <c r="BH17" s="27" t="str">
        <f>IF(BG17="","",VLOOKUP(BG17,Parts_Data!$D$2:$E$102,2,FALSE))</f>
        <v/>
      </c>
      <c r="BI17" s="63"/>
      <c r="BJ17" s="67"/>
      <c r="BK17" s="27" t="str">
        <f>IF(BI17="","",VLOOKUP(BI17,Parts_Data!$H$2:$I$102,2,FALSE))</f>
        <v/>
      </c>
      <c r="BL17" s="63"/>
      <c r="BM17" s="27" t="str">
        <f>IF(BL17="","",VLOOKUP(BL17,Parts_Data!$D$2:$E$102,2,FALSE))</f>
        <v/>
      </c>
      <c r="BN17" s="63"/>
      <c r="BO17" s="67"/>
      <c r="BP17" s="27" t="str">
        <f>IF(BN17="","",VLOOKUP(BN17,Parts_Data!$H$2:$I$102,2,FALSE))</f>
        <v/>
      </c>
      <c r="BQ17" s="63"/>
      <c r="BR17" s="27" t="str">
        <f>IF(BQ17="","",VLOOKUP(BQ17,Parts_Data!$D$2:$E$102,2,FALSE))</f>
        <v/>
      </c>
      <c r="BS17" s="63"/>
      <c r="BT17" s="67"/>
      <c r="BU17" s="27" t="str">
        <f>IF(BS17="","",VLOOKUP(BS17,Parts_Data!$H$2:$I$102,2,FALSE))</f>
        <v/>
      </c>
      <c r="BV17" s="63"/>
      <c r="BW17" s="27" t="str">
        <f>IF(BV17="","",VLOOKUP(BV17,Parts_Data!$D$2:$E$102,2,FALSE))</f>
        <v/>
      </c>
      <c r="BX17" s="63"/>
      <c r="BY17" s="67"/>
      <c r="BZ17" s="27" t="str">
        <f>IF(BX17="","",VLOOKUP(BX17,Parts_Data!$H$2:$I$102,2,FALSE))</f>
        <v/>
      </c>
    </row>
    <row r="18" spans="1:78" ht="15.6" x14ac:dyDescent="0.3">
      <c r="A18" t="str">
        <f>VLOOKUP($E$9,Structure_Data!$E$3:$AJ$35,7,FALSE)</f>
        <v>x</v>
      </c>
      <c r="B18" s="30" t="str">
        <f>IF(A18="x",VLOOKUP($A$9,Structure_Data!$E$3:$AJ$35,7,FALSE),"")</f>
        <v>E176</v>
      </c>
      <c r="C18" s="19"/>
      <c r="D18" s="64"/>
      <c r="E18" s="26" t="str">
        <f>IF(D18="","",VLOOKUP(D18,Parts_Data!$D$2:$E$102,2,FALSE))</f>
        <v/>
      </c>
      <c r="F18" s="64"/>
      <c r="G18" s="68"/>
      <c r="H18" s="26" t="str">
        <f>IF(F18="","",VLOOKUP(F18,Parts_Data!$H$2:$I$102,2,FALSE))</f>
        <v/>
      </c>
      <c r="I18" s="64"/>
      <c r="J18" s="26" t="str">
        <f>IF(I18="","",VLOOKUP(I18,Parts_Data!$D$2:$E$102,2,FALSE))</f>
        <v/>
      </c>
      <c r="K18" s="64"/>
      <c r="L18" s="68"/>
      <c r="M18" s="26" t="str">
        <f>IF(K18="","",VLOOKUP(K18,Parts_Data!$H$2:$I$102,2,FALSE))</f>
        <v/>
      </c>
      <c r="N18" s="64"/>
      <c r="O18" s="26" t="str">
        <f>IF(N18="","",VLOOKUP(N18,Parts_Data!$D$2:$E$102,2,FALSE))</f>
        <v/>
      </c>
      <c r="P18" s="64"/>
      <c r="Q18" s="68"/>
      <c r="R18" s="26" t="str">
        <f>IF(P18="","",VLOOKUP(P18,Parts_Data!$H$2:$I$102,2,FALSE))</f>
        <v/>
      </c>
      <c r="S18" s="64"/>
      <c r="T18" s="26" t="str">
        <f>IF(S18="","",VLOOKUP(S18,Parts_Data!$D$2:$E$102,2,FALSE))</f>
        <v/>
      </c>
      <c r="U18" s="64"/>
      <c r="V18" s="68"/>
      <c r="W18" s="26" t="str">
        <f>IF(U18="","",VLOOKUP(U18,Parts_Data!$H$2:$I$102,2,FALSE))</f>
        <v/>
      </c>
      <c r="X18" s="64"/>
      <c r="Y18" s="26" t="str">
        <f>IF(X18="","",VLOOKUP(X18,Parts_Data!$D$2:$E$102,2,FALSE))</f>
        <v/>
      </c>
      <c r="Z18" s="64"/>
      <c r="AA18" s="68"/>
      <c r="AB18" s="26" t="str">
        <f>IF(Z18="","",VLOOKUP(Z18,Parts_Data!$H$2:$I$102,2,FALSE))</f>
        <v/>
      </c>
      <c r="AC18" s="64"/>
      <c r="AD18" s="26" t="str">
        <f>IF(AC18="","",VLOOKUP(AC18,Parts_Data!$D$2:$E$102,2,FALSE))</f>
        <v/>
      </c>
      <c r="AE18" s="64"/>
      <c r="AF18" s="68"/>
      <c r="AG18" s="26" t="str">
        <f>IF(AE18="","",VLOOKUP(AE18,Parts_Data!$H$2:$I$102,2,FALSE))</f>
        <v/>
      </c>
      <c r="AH18" s="64"/>
      <c r="AI18" s="26" t="str">
        <f>IF(AH18="","",VLOOKUP(AH18,Parts_Data!$D$2:$E$102,2,FALSE))</f>
        <v/>
      </c>
      <c r="AJ18" s="64"/>
      <c r="AK18" s="68"/>
      <c r="AL18" s="26" t="str">
        <f>IF(AJ18="","",VLOOKUP(AJ18,Parts_Data!$H$2:$I$102,2,FALSE))</f>
        <v/>
      </c>
      <c r="AM18" s="64"/>
      <c r="AN18" s="26" t="str">
        <f>IF(AM18="","",VLOOKUP(AM18,Parts_Data!$D$2:$E$102,2,FALSE))</f>
        <v/>
      </c>
      <c r="AO18" s="64"/>
      <c r="AP18" s="68"/>
      <c r="AQ18" s="26" t="str">
        <f>IF(AO18="","",VLOOKUP(AO18,Parts_Data!$H$2:$I$102,2,FALSE))</f>
        <v/>
      </c>
      <c r="AR18" s="64"/>
      <c r="AS18" s="26" t="str">
        <f>IF(AR18="","",VLOOKUP(AR18,Parts_Data!$D$2:$E$102,2,FALSE))</f>
        <v/>
      </c>
      <c r="AT18" s="64"/>
      <c r="AU18" s="68"/>
      <c r="AV18" s="26" t="str">
        <f>IF(AT18="","",VLOOKUP(AT18,Parts_Data!$H$2:$I$102,2,FALSE))</f>
        <v/>
      </c>
      <c r="AW18" s="64"/>
      <c r="AX18" s="26" t="str">
        <f>IF(AW18="","",VLOOKUP(AW18,Parts_Data!$D$2:$E$102,2,FALSE))</f>
        <v/>
      </c>
      <c r="AY18" s="64"/>
      <c r="AZ18" s="68"/>
      <c r="BA18" s="26" t="str">
        <f>IF(AY18="","",VLOOKUP(AY18,Parts_Data!$H$2:$I$102,2,FALSE))</f>
        <v/>
      </c>
      <c r="BB18" s="64"/>
      <c r="BC18" s="26" t="str">
        <f>IF(BB18="","",VLOOKUP(BB18,Parts_Data!$D$2:$E$102,2,FALSE))</f>
        <v/>
      </c>
      <c r="BD18" s="64"/>
      <c r="BE18" s="68"/>
      <c r="BF18" s="26" t="str">
        <f>IF(BD18="","",VLOOKUP(BD18,Parts_Data!$H$2:$I$102,2,FALSE))</f>
        <v/>
      </c>
      <c r="BG18" s="64"/>
      <c r="BH18" s="26" t="str">
        <f>IF(BG18="","",VLOOKUP(BG18,Parts_Data!$D$2:$E$102,2,FALSE))</f>
        <v/>
      </c>
      <c r="BI18" s="64"/>
      <c r="BJ18" s="68"/>
      <c r="BK18" s="26" t="str">
        <f>IF(BI18="","",VLOOKUP(BI18,Parts_Data!$H$2:$I$102,2,FALSE))</f>
        <v/>
      </c>
      <c r="BL18" s="64"/>
      <c r="BM18" s="26" t="str">
        <f>IF(BL18="","",VLOOKUP(BL18,Parts_Data!$D$2:$E$102,2,FALSE))</f>
        <v/>
      </c>
      <c r="BN18" s="64"/>
      <c r="BO18" s="68"/>
      <c r="BP18" s="26" t="str">
        <f>IF(BN18="","",VLOOKUP(BN18,Parts_Data!$H$2:$I$102,2,FALSE))</f>
        <v/>
      </c>
      <c r="BQ18" s="64"/>
      <c r="BR18" s="26" t="str">
        <f>IF(BQ18="","",VLOOKUP(BQ18,Parts_Data!$D$2:$E$102,2,FALSE))</f>
        <v/>
      </c>
      <c r="BS18" s="64"/>
      <c r="BT18" s="68"/>
      <c r="BU18" s="26" t="str">
        <f>IF(BS18="","",VLOOKUP(BS18,Parts_Data!$H$2:$I$102,2,FALSE))</f>
        <v/>
      </c>
      <c r="BV18" s="64"/>
      <c r="BW18" s="26" t="str">
        <f>IF(BV18="","",VLOOKUP(BV18,Parts_Data!$D$2:$E$102,2,FALSE))</f>
        <v/>
      </c>
      <c r="BX18" s="64"/>
      <c r="BY18" s="68"/>
      <c r="BZ18" s="26" t="str">
        <f>IF(BX18="","",VLOOKUP(BX18,Parts_Data!$H$2:$I$102,2,FALSE))</f>
        <v/>
      </c>
    </row>
    <row r="19" spans="1:78" ht="15.6" x14ac:dyDescent="0.3">
      <c r="A19" t="str">
        <f>VLOOKUP($E$9,Structure_Data!$E$3:$AJ$35,8,FALSE)</f>
        <v>x</v>
      </c>
      <c r="B19" s="30" t="str">
        <f>IF(A19="x",VLOOKUP($A$9,Structure_Data!$E$3:$AJ$35,8,FALSE),"")</f>
        <v>E182</v>
      </c>
      <c r="C19" s="18"/>
      <c r="D19" s="63"/>
      <c r="E19" s="27" t="str">
        <f>IF(D19="","",VLOOKUP(D19,Parts_Data!$D$2:$E$102,2,FALSE))</f>
        <v/>
      </c>
      <c r="F19" s="63"/>
      <c r="G19" s="67"/>
      <c r="H19" s="27" t="str">
        <f>IF(F19="","",VLOOKUP(F19,Parts_Data!$H$2:$I$102,2,FALSE))</f>
        <v/>
      </c>
      <c r="I19" s="63"/>
      <c r="J19" s="27" t="str">
        <f>IF(I19="","",VLOOKUP(I19,Parts_Data!$D$2:$E$102,2,FALSE))</f>
        <v/>
      </c>
      <c r="K19" s="63"/>
      <c r="L19" s="67"/>
      <c r="M19" s="27" t="str">
        <f>IF(K19="","",VLOOKUP(K19,Parts_Data!$H$2:$I$102,2,FALSE))</f>
        <v/>
      </c>
      <c r="N19" s="63"/>
      <c r="O19" s="27" t="str">
        <f>IF(N19="","",VLOOKUP(N19,Parts_Data!$D$2:$E$102,2,FALSE))</f>
        <v/>
      </c>
      <c r="P19" s="63"/>
      <c r="Q19" s="67"/>
      <c r="R19" s="27" t="str">
        <f>IF(P19="","",VLOOKUP(P19,Parts_Data!$H$2:$I$102,2,FALSE))</f>
        <v/>
      </c>
      <c r="S19" s="63"/>
      <c r="T19" s="27" t="str">
        <f>IF(S19="","",VLOOKUP(S19,Parts_Data!$D$2:$E$102,2,FALSE))</f>
        <v/>
      </c>
      <c r="U19" s="63"/>
      <c r="V19" s="67"/>
      <c r="W19" s="27" t="str">
        <f>IF(U19="","",VLOOKUP(U19,Parts_Data!$H$2:$I$102,2,FALSE))</f>
        <v/>
      </c>
      <c r="X19" s="63"/>
      <c r="Y19" s="27" t="str">
        <f>IF(X19="","",VLOOKUP(X19,Parts_Data!$D$2:$E$102,2,FALSE))</f>
        <v/>
      </c>
      <c r="Z19" s="63"/>
      <c r="AA19" s="67"/>
      <c r="AB19" s="27" t="str">
        <f>IF(Z19="","",VLOOKUP(Z19,Parts_Data!$H$2:$I$102,2,FALSE))</f>
        <v/>
      </c>
      <c r="AC19" s="63"/>
      <c r="AD19" s="27" t="str">
        <f>IF(AC19="","",VLOOKUP(AC19,Parts_Data!$D$2:$E$102,2,FALSE))</f>
        <v/>
      </c>
      <c r="AE19" s="63"/>
      <c r="AF19" s="67"/>
      <c r="AG19" s="27" t="str">
        <f>IF(AE19="","",VLOOKUP(AE19,Parts_Data!$H$2:$I$102,2,FALSE))</f>
        <v/>
      </c>
      <c r="AH19" s="63"/>
      <c r="AI19" s="27" t="str">
        <f>IF(AH19="","",VLOOKUP(AH19,Parts_Data!$D$2:$E$102,2,FALSE))</f>
        <v/>
      </c>
      <c r="AJ19" s="63"/>
      <c r="AK19" s="67"/>
      <c r="AL19" s="27" t="str">
        <f>IF(AJ19="","",VLOOKUP(AJ19,Parts_Data!$H$2:$I$102,2,FALSE))</f>
        <v/>
      </c>
      <c r="AM19" s="63"/>
      <c r="AN19" s="27" t="str">
        <f>IF(AM19="","",VLOOKUP(AM19,Parts_Data!$D$2:$E$102,2,FALSE))</f>
        <v/>
      </c>
      <c r="AO19" s="63"/>
      <c r="AP19" s="67"/>
      <c r="AQ19" s="27" t="str">
        <f>IF(AO19="","",VLOOKUP(AO19,Parts_Data!$H$2:$I$102,2,FALSE))</f>
        <v/>
      </c>
      <c r="AR19" s="63"/>
      <c r="AS19" s="27" t="str">
        <f>IF(AR19="","",VLOOKUP(AR19,Parts_Data!$D$2:$E$102,2,FALSE))</f>
        <v/>
      </c>
      <c r="AT19" s="63"/>
      <c r="AU19" s="67"/>
      <c r="AV19" s="27" t="str">
        <f>IF(AT19="","",VLOOKUP(AT19,Parts_Data!$H$2:$I$102,2,FALSE))</f>
        <v/>
      </c>
      <c r="AW19" s="63"/>
      <c r="AX19" s="27" t="str">
        <f>IF(AW19="","",VLOOKUP(AW19,Parts_Data!$D$2:$E$102,2,FALSE))</f>
        <v/>
      </c>
      <c r="AY19" s="63"/>
      <c r="AZ19" s="67"/>
      <c r="BA19" s="27" t="str">
        <f>IF(AY19="","",VLOOKUP(AY19,Parts_Data!$H$2:$I$102,2,FALSE))</f>
        <v/>
      </c>
      <c r="BB19" s="63"/>
      <c r="BC19" s="27" t="str">
        <f>IF(BB19="","",VLOOKUP(BB19,Parts_Data!$D$2:$E$102,2,FALSE))</f>
        <v/>
      </c>
      <c r="BD19" s="63"/>
      <c r="BE19" s="67"/>
      <c r="BF19" s="27" t="str">
        <f>IF(BD19="","",VLOOKUP(BD19,Parts_Data!$H$2:$I$102,2,FALSE))</f>
        <v/>
      </c>
      <c r="BG19" s="63"/>
      <c r="BH19" s="27" t="str">
        <f>IF(BG19="","",VLOOKUP(BG19,Parts_Data!$D$2:$E$102,2,FALSE))</f>
        <v/>
      </c>
      <c r="BI19" s="63"/>
      <c r="BJ19" s="67"/>
      <c r="BK19" s="27" t="str">
        <f>IF(BI19="","",VLOOKUP(BI19,Parts_Data!$H$2:$I$102,2,FALSE))</f>
        <v/>
      </c>
      <c r="BL19" s="63"/>
      <c r="BM19" s="27" t="str">
        <f>IF(BL19="","",VLOOKUP(BL19,Parts_Data!$D$2:$E$102,2,FALSE))</f>
        <v/>
      </c>
      <c r="BN19" s="63"/>
      <c r="BO19" s="67"/>
      <c r="BP19" s="27" t="str">
        <f>IF(BN19="","",VLOOKUP(BN19,Parts_Data!$H$2:$I$102,2,FALSE))</f>
        <v/>
      </c>
      <c r="BQ19" s="63"/>
      <c r="BR19" s="27" t="str">
        <f>IF(BQ19="","",VLOOKUP(BQ19,Parts_Data!$D$2:$E$102,2,FALSE))</f>
        <v/>
      </c>
      <c r="BS19" s="63"/>
      <c r="BT19" s="67"/>
      <c r="BU19" s="27" t="str">
        <f>IF(BS19="","",VLOOKUP(BS19,Parts_Data!$H$2:$I$102,2,FALSE))</f>
        <v/>
      </c>
      <c r="BV19" s="63"/>
      <c r="BW19" s="27" t="str">
        <f>IF(BV19="","",VLOOKUP(BV19,Parts_Data!$D$2:$E$102,2,FALSE))</f>
        <v/>
      </c>
      <c r="BX19" s="63"/>
      <c r="BY19" s="67"/>
      <c r="BZ19" s="27" t="str">
        <f>IF(BX19="","",VLOOKUP(BX19,Parts_Data!$H$2:$I$102,2,FALSE))</f>
        <v/>
      </c>
    </row>
    <row r="20" spans="1:78" ht="15.6" x14ac:dyDescent="0.3">
      <c r="A20" t="str">
        <f>VLOOKUP($E$9,Structure_Data!$E$3:$AJ$35,9,FALSE)</f>
        <v>x</v>
      </c>
      <c r="B20" s="30" t="str">
        <f>IF(A20="x",VLOOKUP($A$9,Structure_Data!$E$3:$AJ$35,9,FALSE),"")</f>
        <v>E202</v>
      </c>
      <c r="C20" s="19"/>
      <c r="D20" s="64"/>
      <c r="E20" s="26" t="str">
        <f>IF(D20="","",VLOOKUP(D20,Parts_Data!$D$2:$E$102,2,FALSE))</f>
        <v/>
      </c>
      <c r="F20" s="64"/>
      <c r="G20" s="68"/>
      <c r="H20" s="26" t="str">
        <f>IF(F20="","",VLOOKUP(F20,Parts_Data!$H$2:$I$102,2,FALSE))</f>
        <v/>
      </c>
      <c r="I20" s="64"/>
      <c r="J20" s="26" t="str">
        <f>IF(I20="","",VLOOKUP(I20,Parts_Data!$D$2:$E$102,2,FALSE))</f>
        <v/>
      </c>
      <c r="K20" s="64"/>
      <c r="L20" s="68"/>
      <c r="M20" s="26" t="str">
        <f>IF(K20="","",VLOOKUP(K20,Parts_Data!$H$2:$I$102,2,FALSE))</f>
        <v/>
      </c>
      <c r="N20" s="64"/>
      <c r="O20" s="26" t="str">
        <f>IF(N20="","",VLOOKUP(N20,Parts_Data!$D$2:$E$102,2,FALSE))</f>
        <v/>
      </c>
      <c r="P20" s="64"/>
      <c r="Q20" s="68"/>
      <c r="R20" s="26" t="str">
        <f>IF(P20="","",VLOOKUP(P20,Parts_Data!$H$2:$I$102,2,FALSE))</f>
        <v/>
      </c>
      <c r="S20" s="64"/>
      <c r="T20" s="26" t="str">
        <f>IF(S20="","",VLOOKUP(S20,Parts_Data!$D$2:$E$102,2,FALSE))</f>
        <v/>
      </c>
      <c r="U20" s="64"/>
      <c r="V20" s="68"/>
      <c r="W20" s="26" t="str">
        <f>IF(U20="","",VLOOKUP(U20,Parts_Data!$H$2:$I$102,2,FALSE))</f>
        <v/>
      </c>
      <c r="X20" s="64"/>
      <c r="Y20" s="26" t="str">
        <f>IF(X20="","",VLOOKUP(X20,Parts_Data!$D$2:$E$102,2,FALSE))</f>
        <v/>
      </c>
      <c r="Z20" s="64"/>
      <c r="AA20" s="68"/>
      <c r="AB20" s="26" t="str">
        <f>IF(Z20="","",VLOOKUP(Z20,Parts_Data!$H$2:$I$102,2,FALSE))</f>
        <v/>
      </c>
      <c r="AC20" s="64"/>
      <c r="AD20" s="26" t="str">
        <f>IF(AC20="","",VLOOKUP(AC20,Parts_Data!$D$2:$E$102,2,FALSE))</f>
        <v/>
      </c>
      <c r="AE20" s="64"/>
      <c r="AF20" s="68"/>
      <c r="AG20" s="26" t="str">
        <f>IF(AE20="","",VLOOKUP(AE20,Parts_Data!$H$2:$I$102,2,FALSE))</f>
        <v/>
      </c>
      <c r="AH20" s="64"/>
      <c r="AI20" s="26" t="str">
        <f>IF(AH20="","",VLOOKUP(AH20,Parts_Data!$D$2:$E$102,2,FALSE))</f>
        <v/>
      </c>
      <c r="AJ20" s="64"/>
      <c r="AK20" s="68"/>
      <c r="AL20" s="26" t="str">
        <f>IF(AJ20="","",VLOOKUP(AJ20,Parts_Data!$H$2:$I$102,2,FALSE))</f>
        <v/>
      </c>
      <c r="AM20" s="64"/>
      <c r="AN20" s="26" t="str">
        <f>IF(AM20="","",VLOOKUP(AM20,Parts_Data!$D$2:$E$102,2,FALSE))</f>
        <v/>
      </c>
      <c r="AO20" s="64"/>
      <c r="AP20" s="68"/>
      <c r="AQ20" s="26" t="str">
        <f>IF(AO20="","",VLOOKUP(AO20,Parts_Data!$H$2:$I$102,2,FALSE))</f>
        <v/>
      </c>
      <c r="AR20" s="64"/>
      <c r="AS20" s="26" t="str">
        <f>IF(AR20="","",VLOOKUP(AR20,Parts_Data!$D$2:$E$102,2,FALSE))</f>
        <v/>
      </c>
      <c r="AT20" s="64"/>
      <c r="AU20" s="68"/>
      <c r="AV20" s="26" t="str">
        <f>IF(AT20="","",VLOOKUP(AT20,Parts_Data!$H$2:$I$102,2,FALSE))</f>
        <v/>
      </c>
      <c r="AW20" s="64"/>
      <c r="AX20" s="26" t="str">
        <f>IF(AW20="","",VLOOKUP(AW20,Parts_Data!$D$2:$E$102,2,FALSE))</f>
        <v/>
      </c>
      <c r="AY20" s="64"/>
      <c r="AZ20" s="68"/>
      <c r="BA20" s="26" t="str">
        <f>IF(AY20="","",VLOOKUP(AY20,Parts_Data!$H$2:$I$102,2,FALSE))</f>
        <v/>
      </c>
      <c r="BB20" s="64"/>
      <c r="BC20" s="26" t="str">
        <f>IF(BB20="","",VLOOKUP(BB20,Parts_Data!$D$2:$E$102,2,FALSE))</f>
        <v/>
      </c>
      <c r="BD20" s="64"/>
      <c r="BE20" s="68"/>
      <c r="BF20" s="26" t="str">
        <f>IF(BD20="","",VLOOKUP(BD20,Parts_Data!$H$2:$I$102,2,FALSE))</f>
        <v/>
      </c>
      <c r="BG20" s="64"/>
      <c r="BH20" s="26" t="str">
        <f>IF(BG20="","",VLOOKUP(BG20,Parts_Data!$D$2:$E$102,2,FALSE))</f>
        <v/>
      </c>
      <c r="BI20" s="64"/>
      <c r="BJ20" s="68"/>
      <c r="BK20" s="26" t="str">
        <f>IF(BI20="","",VLOOKUP(BI20,Parts_Data!$H$2:$I$102,2,FALSE))</f>
        <v/>
      </c>
      <c r="BL20" s="64"/>
      <c r="BM20" s="26" t="str">
        <f>IF(BL20="","",VLOOKUP(BL20,Parts_Data!$D$2:$E$102,2,FALSE))</f>
        <v/>
      </c>
      <c r="BN20" s="64"/>
      <c r="BO20" s="68"/>
      <c r="BP20" s="26" t="str">
        <f>IF(BN20="","",VLOOKUP(BN20,Parts_Data!$H$2:$I$102,2,FALSE))</f>
        <v/>
      </c>
      <c r="BQ20" s="64"/>
      <c r="BR20" s="26" t="str">
        <f>IF(BQ20="","",VLOOKUP(BQ20,Parts_Data!$D$2:$E$102,2,FALSE))</f>
        <v/>
      </c>
      <c r="BS20" s="64"/>
      <c r="BT20" s="68"/>
      <c r="BU20" s="26" t="str">
        <f>IF(BS20="","",VLOOKUP(BS20,Parts_Data!$H$2:$I$102,2,FALSE))</f>
        <v/>
      </c>
      <c r="BV20" s="64"/>
      <c r="BW20" s="26" t="str">
        <f>IF(BV20="","",VLOOKUP(BV20,Parts_Data!$D$2:$E$102,2,FALSE))</f>
        <v/>
      </c>
      <c r="BX20" s="64"/>
      <c r="BY20" s="68"/>
      <c r="BZ20" s="26" t="str">
        <f>IF(BX20="","",VLOOKUP(BX20,Parts_Data!$H$2:$I$102,2,FALSE))</f>
        <v/>
      </c>
    </row>
    <row r="21" spans="1:78" ht="15.6" x14ac:dyDescent="0.3">
      <c r="A21" t="str">
        <f>VLOOKUP($E$9,Structure_Data!$E$3:$AJ$35,10,FALSE)</f>
        <v>x</v>
      </c>
      <c r="B21" s="30" t="str">
        <f>IF(A21="x",VLOOKUP($A$9,Structure_Data!$E$3:$AJ$35,10,FALSE),"")</f>
        <v>E208</v>
      </c>
      <c r="C21" s="18"/>
      <c r="D21" s="63"/>
      <c r="E21" s="27" t="str">
        <f>IF(D21="","",VLOOKUP(D21,Parts_Data!$D$2:$E$102,2,FALSE))</f>
        <v/>
      </c>
      <c r="F21" s="63"/>
      <c r="G21" s="67"/>
      <c r="H21" s="27" t="str">
        <f>IF(F21="","",VLOOKUP(F21,Parts_Data!$H$2:$I$102,2,FALSE))</f>
        <v/>
      </c>
      <c r="I21" s="63"/>
      <c r="J21" s="27" t="str">
        <f>IF(I21="","",VLOOKUP(I21,Parts_Data!$D$2:$E$102,2,FALSE))</f>
        <v/>
      </c>
      <c r="K21" s="63"/>
      <c r="L21" s="67"/>
      <c r="M21" s="27" t="str">
        <f>IF(K21="","",VLOOKUP(K21,Parts_Data!$H$2:$I$102,2,FALSE))</f>
        <v/>
      </c>
      <c r="N21" s="63"/>
      <c r="O21" s="27" t="str">
        <f>IF(N21="","",VLOOKUP(N21,Parts_Data!$D$2:$E$102,2,FALSE))</f>
        <v/>
      </c>
      <c r="P21" s="63"/>
      <c r="Q21" s="67"/>
      <c r="R21" s="27" t="str">
        <f>IF(P21="","",VLOOKUP(P21,Parts_Data!$H$2:$I$102,2,FALSE))</f>
        <v/>
      </c>
      <c r="S21" s="63"/>
      <c r="T21" s="27" t="str">
        <f>IF(S21="","",VLOOKUP(S21,Parts_Data!$D$2:$E$102,2,FALSE))</f>
        <v/>
      </c>
      <c r="U21" s="63"/>
      <c r="V21" s="67"/>
      <c r="W21" s="27" t="str">
        <f>IF(U21="","",VLOOKUP(U21,Parts_Data!$H$2:$I$102,2,FALSE))</f>
        <v/>
      </c>
      <c r="X21" s="63"/>
      <c r="Y21" s="27" t="str">
        <f>IF(X21="","",VLOOKUP(X21,Parts_Data!$D$2:$E$102,2,FALSE))</f>
        <v/>
      </c>
      <c r="Z21" s="63"/>
      <c r="AA21" s="67"/>
      <c r="AB21" s="27" t="str">
        <f>IF(Z21="","",VLOOKUP(Z21,Parts_Data!$H$2:$I$102,2,FALSE))</f>
        <v/>
      </c>
      <c r="AC21" s="63"/>
      <c r="AD21" s="27" t="str">
        <f>IF(AC21="","",VLOOKUP(AC21,Parts_Data!$D$2:$E$102,2,FALSE))</f>
        <v/>
      </c>
      <c r="AE21" s="63"/>
      <c r="AF21" s="67"/>
      <c r="AG21" s="27" t="str">
        <f>IF(AE21="","",VLOOKUP(AE21,Parts_Data!$H$2:$I$102,2,FALSE))</f>
        <v/>
      </c>
      <c r="AH21" s="63"/>
      <c r="AI21" s="27" t="str">
        <f>IF(AH21="","",VLOOKUP(AH21,Parts_Data!$D$2:$E$102,2,FALSE))</f>
        <v/>
      </c>
      <c r="AJ21" s="63"/>
      <c r="AK21" s="67"/>
      <c r="AL21" s="27" t="str">
        <f>IF(AJ21="","",VLOOKUP(AJ21,Parts_Data!$H$2:$I$102,2,FALSE))</f>
        <v/>
      </c>
      <c r="AM21" s="63"/>
      <c r="AN21" s="27" t="str">
        <f>IF(AM21="","",VLOOKUP(AM21,Parts_Data!$D$2:$E$102,2,FALSE))</f>
        <v/>
      </c>
      <c r="AO21" s="63"/>
      <c r="AP21" s="67"/>
      <c r="AQ21" s="27" t="str">
        <f>IF(AO21="","",VLOOKUP(AO21,Parts_Data!$H$2:$I$102,2,FALSE))</f>
        <v/>
      </c>
      <c r="AR21" s="63"/>
      <c r="AS21" s="27" t="str">
        <f>IF(AR21="","",VLOOKUP(AR21,Parts_Data!$D$2:$E$102,2,FALSE))</f>
        <v/>
      </c>
      <c r="AT21" s="63"/>
      <c r="AU21" s="67"/>
      <c r="AV21" s="27" t="str">
        <f>IF(AT21="","",VLOOKUP(AT21,Parts_Data!$H$2:$I$102,2,FALSE))</f>
        <v/>
      </c>
      <c r="AW21" s="63"/>
      <c r="AX21" s="27" t="str">
        <f>IF(AW21="","",VLOOKUP(AW21,Parts_Data!$D$2:$E$102,2,FALSE))</f>
        <v/>
      </c>
      <c r="AY21" s="63"/>
      <c r="AZ21" s="67"/>
      <c r="BA21" s="27" t="str">
        <f>IF(AY21="","",VLOOKUP(AY21,Parts_Data!$H$2:$I$102,2,FALSE))</f>
        <v/>
      </c>
      <c r="BB21" s="63"/>
      <c r="BC21" s="27" t="str">
        <f>IF(BB21="","",VLOOKUP(BB21,Parts_Data!$D$2:$E$102,2,FALSE))</f>
        <v/>
      </c>
      <c r="BD21" s="63"/>
      <c r="BE21" s="67"/>
      <c r="BF21" s="27" t="str">
        <f>IF(BD21="","",VLOOKUP(BD21,Parts_Data!$H$2:$I$102,2,FALSE))</f>
        <v/>
      </c>
      <c r="BG21" s="63"/>
      <c r="BH21" s="27" t="str">
        <f>IF(BG21="","",VLOOKUP(BG21,Parts_Data!$D$2:$E$102,2,FALSE))</f>
        <v/>
      </c>
      <c r="BI21" s="63"/>
      <c r="BJ21" s="67"/>
      <c r="BK21" s="27" t="str">
        <f>IF(BI21="","",VLOOKUP(BI21,Parts_Data!$H$2:$I$102,2,FALSE))</f>
        <v/>
      </c>
      <c r="BL21" s="63"/>
      <c r="BM21" s="27" t="str">
        <f>IF(BL21="","",VLOOKUP(BL21,Parts_Data!$D$2:$E$102,2,FALSE))</f>
        <v/>
      </c>
      <c r="BN21" s="63"/>
      <c r="BO21" s="67"/>
      <c r="BP21" s="27" t="str">
        <f>IF(BN21="","",VLOOKUP(BN21,Parts_Data!$H$2:$I$102,2,FALSE))</f>
        <v/>
      </c>
      <c r="BQ21" s="63"/>
      <c r="BR21" s="27" t="str">
        <f>IF(BQ21="","",VLOOKUP(BQ21,Parts_Data!$D$2:$E$102,2,FALSE))</f>
        <v/>
      </c>
      <c r="BS21" s="63"/>
      <c r="BT21" s="67"/>
      <c r="BU21" s="27" t="str">
        <f>IF(BS21="","",VLOOKUP(BS21,Parts_Data!$H$2:$I$102,2,FALSE))</f>
        <v/>
      </c>
      <c r="BV21" s="63"/>
      <c r="BW21" s="27" t="str">
        <f>IF(BV21="","",VLOOKUP(BV21,Parts_Data!$D$2:$E$102,2,FALSE))</f>
        <v/>
      </c>
      <c r="BX21" s="63"/>
      <c r="BY21" s="67"/>
      <c r="BZ21" s="27" t="str">
        <f>IF(BX21="","",VLOOKUP(BX21,Parts_Data!$H$2:$I$102,2,FALSE))</f>
        <v/>
      </c>
    </row>
    <row r="22" spans="1:78" ht="15.6" x14ac:dyDescent="0.3">
      <c r="A22" t="str">
        <f>VLOOKUP($E$9,Structure_Data!$E$3:$AJ$35,11,FALSE)</f>
        <v>x</v>
      </c>
      <c r="B22" s="30" t="str">
        <f>IF(A22="x",VLOOKUP($A$9,Structure_Data!$E$3:$AJ$35,11,FALSE),"")</f>
        <v>E214</v>
      </c>
      <c r="C22" s="19"/>
      <c r="D22" s="64"/>
      <c r="E22" s="26" t="str">
        <f>IF(D22="","",VLOOKUP(D22,Parts_Data!$D$2:$E$102,2,FALSE))</f>
        <v/>
      </c>
      <c r="F22" s="64"/>
      <c r="G22" s="68"/>
      <c r="H22" s="26" t="str">
        <f>IF(F22="","",VLOOKUP(F22,Parts_Data!$H$2:$I$102,2,FALSE))</f>
        <v/>
      </c>
      <c r="I22" s="64"/>
      <c r="J22" s="26" t="str">
        <f>IF(I22="","",VLOOKUP(I22,Parts_Data!$D$2:$E$102,2,FALSE))</f>
        <v/>
      </c>
      <c r="K22" s="64"/>
      <c r="L22" s="68"/>
      <c r="M22" s="26" t="str">
        <f>IF(K22="","",VLOOKUP(K22,Parts_Data!$H$2:$I$102,2,FALSE))</f>
        <v/>
      </c>
      <c r="N22" s="64"/>
      <c r="O22" s="26" t="str">
        <f>IF(N22="","",VLOOKUP(N22,Parts_Data!$D$2:$E$102,2,FALSE))</f>
        <v/>
      </c>
      <c r="P22" s="64"/>
      <c r="Q22" s="68"/>
      <c r="R22" s="26" t="str">
        <f>IF(P22="","",VLOOKUP(P22,Parts_Data!$H$2:$I$102,2,FALSE))</f>
        <v/>
      </c>
      <c r="S22" s="64"/>
      <c r="T22" s="26" t="str">
        <f>IF(S22="","",VLOOKUP(S22,Parts_Data!$D$2:$E$102,2,FALSE))</f>
        <v/>
      </c>
      <c r="U22" s="64"/>
      <c r="V22" s="68"/>
      <c r="W22" s="26" t="str">
        <f>IF(U22="","",VLOOKUP(U22,Parts_Data!$H$2:$I$102,2,FALSE))</f>
        <v/>
      </c>
      <c r="X22" s="64"/>
      <c r="Y22" s="26" t="str">
        <f>IF(X22="","",VLOOKUP(X22,Parts_Data!$D$2:$E$102,2,FALSE))</f>
        <v/>
      </c>
      <c r="Z22" s="64"/>
      <c r="AA22" s="68"/>
      <c r="AB22" s="26" t="str">
        <f>IF(Z22="","",VLOOKUP(Z22,Parts_Data!$H$2:$I$102,2,FALSE))</f>
        <v/>
      </c>
      <c r="AC22" s="64"/>
      <c r="AD22" s="26" t="str">
        <f>IF(AC22="","",VLOOKUP(AC22,Parts_Data!$D$2:$E$102,2,FALSE))</f>
        <v/>
      </c>
      <c r="AE22" s="64"/>
      <c r="AF22" s="68"/>
      <c r="AG22" s="26" t="str">
        <f>IF(AE22="","",VLOOKUP(AE22,Parts_Data!$H$2:$I$102,2,FALSE))</f>
        <v/>
      </c>
      <c r="AH22" s="64"/>
      <c r="AI22" s="26" t="str">
        <f>IF(AH22="","",VLOOKUP(AH22,Parts_Data!$D$2:$E$102,2,FALSE))</f>
        <v/>
      </c>
      <c r="AJ22" s="64"/>
      <c r="AK22" s="68"/>
      <c r="AL22" s="26" t="str">
        <f>IF(AJ22="","",VLOOKUP(AJ22,Parts_Data!$H$2:$I$102,2,FALSE))</f>
        <v/>
      </c>
      <c r="AM22" s="64"/>
      <c r="AN22" s="26" t="str">
        <f>IF(AM22="","",VLOOKUP(AM22,Parts_Data!$D$2:$E$102,2,FALSE))</f>
        <v/>
      </c>
      <c r="AO22" s="64"/>
      <c r="AP22" s="68"/>
      <c r="AQ22" s="26" t="str">
        <f>IF(AO22="","",VLOOKUP(AO22,Parts_Data!$H$2:$I$102,2,FALSE))</f>
        <v/>
      </c>
      <c r="AR22" s="64"/>
      <c r="AS22" s="26" t="str">
        <f>IF(AR22="","",VLOOKUP(AR22,Parts_Data!$D$2:$E$102,2,FALSE))</f>
        <v/>
      </c>
      <c r="AT22" s="64"/>
      <c r="AU22" s="68"/>
      <c r="AV22" s="26" t="str">
        <f>IF(AT22="","",VLOOKUP(AT22,Parts_Data!$H$2:$I$102,2,FALSE))</f>
        <v/>
      </c>
      <c r="AW22" s="64"/>
      <c r="AX22" s="26" t="str">
        <f>IF(AW22="","",VLOOKUP(AW22,Parts_Data!$D$2:$E$102,2,FALSE))</f>
        <v/>
      </c>
      <c r="AY22" s="64"/>
      <c r="AZ22" s="68"/>
      <c r="BA22" s="26" t="str">
        <f>IF(AY22="","",VLOOKUP(AY22,Parts_Data!$H$2:$I$102,2,FALSE))</f>
        <v/>
      </c>
      <c r="BB22" s="64"/>
      <c r="BC22" s="26" t="str">
        <f>IF(BB22="","",VLOOKUP(BB22,Parts_Data!$D$2:$E$102,2,FALSE))</f>
        <v/>
      </c>
      <c r="BD22" s="64"/>
      <c r="BE22" s="68"/>
      <c r="BF22" s="26" t="str">
        <f>IF(BD22="","",VLOOKUP(BD22,Parts_Data!$H$2:$I$102,2,FALSE))</f>
        <v/>
      </c>
      <c r="BG22" s="64"/>
      <c r="BH22" s="26" t="str">
        <f>IF(BG22="","",VLOOKUP(BG22,Parts_Data!$D$2:$E$102,2,FALSE))</f>
        <v/>
      </c>
      <c r="BI22" s="64"/>
      <c r="BJ22" s="68"/>
      <c r="BK22" s="26" t="str">
        <f>IF(BI22="","",VLOOKUP(BI22,Parts_Data!$H$2:$I$102,2,FALSE))</f>
        <v/>
      </c>
      <c r="BL22" s="64"/>
      <c r="BM22" s="26" t="str">
        <f>IF(BL22="","",VLOOKUP(BL22,Parts_Data!$D$2:$E$102,2,FALSE))</f>
        <v/>
      </c>
      <c r="BN22" s="64"/>
      <c r="BO22" s="68"/>
      <c r="BP22" s="26" t="str">
        <f>IF(BN22="","",VLOOKUP(BN22,Parts_Data!$H$2:$I$102,2,FALSE))</f>
        <v/>
      </c>
      <c r="BQ22" s="64"/>
      <c r="BR22" s="26" t="str">
        <f>IF(BQ22="","",VLOOKUP(BQ22,Parts_Data!$D$2:$E$102,2,FALSE))</f>
        <v/>
      </c>
      <c r="BS22" s="64"/>
      <c r="BT22" s="68"/>
      <c r="BU22" s="26" t="str">
        <f>IF(BS22="","",VLOOKUP(BS22,Parts_Data!$H$2:$I$102,2,FALSE))</f>
        <v/>
      </c>
      <c r="BV22" s="64"/>
      <c r="BW22" s="26" t="str">
        <f>IF(BV22="","",VLOOKUP(BV22,Parts_Data!$D$2:$E$102,2,FALSE))</f>
        <v/>
      </c>
      <c r="BX22" s="64"/>
      <c r="BY22" s="68"/>
      <c r="BZ22" s="26" t="str">
        <f>IF(BX22="","",VLOOKUP(BX22,Parts_Data!$H$2:$I$102,2,FALSE))</f>
        <v/>
      </c>
    </row>
    <row r="23" spans="1:78" ht="15.6" x14ac:dyDescent="0.3">
      <c r="A23" t="str">
        <f>VLOOKUP($E$9,Structure_Data!$E$3:$AJ$35,12,FALSE)</f>
        <v>x</v>
      </c>
      <c r="B23" s="30" t="str">
        <f>IF(A23="x",VLOOKUP($A$9,Structure_Data!$E$3:$AJ$35,12,FALSE),"")</f>
        <v>E220</v>
      </c>
      <c r="C23" s="18"/>
      <c r="D23" s="63"/>
      <c r="E23" s="27" t="str">
        <f>IF(D23="","",VLOOKUP(D23,Parts_Data!$D$2:$E$102,2,FALSE))</f>
        <v/>
      </c>
      <c r="F23" s="63"/>
      <c r="G23" s="67"/>
      <c r="H23" s="27" t="str">
        <f>IF(F23="","",VLOOKUP(F23,Parts_Data!$H$2:$I$102,2,FALSE))</f>
        <v/>
      </c>
      <c r="I23" s="63"/>
      <c r="J23" s="27" t="str">
        <f>IF(I23="","",VLOOKUP(I23,Parts_Data!$D$2:$E$102,2,FALSE))</f>
        <v/>
      </c>
      <c r="K23" s="63"/>
      <c r="L23" s="67"/>
      <c r="M23" s="27" t="str">
        <f>IF(K23="","",VLOOKUP(K23,Parts_Data!$H$2:$I$102,2,FALSE))</f>
        <v/>
      </c>
      <c r="N23" s="63"/>
      <c r="O23" s="27" t="str">
        <f>IF(N23="","",VLOOKUP(N23,Parts_Data!$D$2:$E$102,2,FALSE))</f>
        <v/>
      </c>
      <c r="P23" s="63"/>
      <c r="Q23" s="67"/>
      <c r="R23" s="27" t="str">
        <f>IF(P23="","",VLOOKUP(P23,Parts_Data!$H$2:$I$102,2,FALSE))</f>
        <v/>
      </c>
      <c r="S23" s="63"/>
      <c r="T23" s="27" t="str">
        <f>IF(S23="","",VLOOKUP(S23,Parts_Data!$D$2:$E$102,2,FALSE))</f>
        <v/>
      </c>
      <c r="U23" s="63"/>
      <c r="V23" s="67"/>
      <c r="W23" s="27" t="str">
        <f>IF(U23="","",VLOOKUP(U23,Parts_Data!$H$2:$I$102,2,FALSE))</f>
        <v/>
      </c>
      <c r="X23" s="63"/>
      <c r="Y23" s="27" t="str">
        <f>IF(X23="","",VLOOKUP(X23,Parts_Data!$D$2:$E$102,2,FALSE))</f>
        <v/>
      </c>
      <c r="Z23" s="63"/>
      <c r="AA23" s="67"/>
      <c r="AB23" s="27" t="str">
        <f>IF(Z23="","",VLOOKUP(Z23,Parts_Data!$H$2:$I$102,2,FALSE))</f>
        <v/>
      </c>
      <c r="AC23" s="63"/>
      <c r="AD23" s="27" t="str">
        <f>IF(AC23="","",VLOOKUP(AC23,Parts_Data!$D$2:$E$102,2,FALSE))</f>
        <v/>
      </c>
      <c r="AE23" s="63"/>
      <c r="AF23" s="67"/>
      <c r="AG23" s="27" t="str">
        <f>IF(AE23="","",VLOOKUP(AE23,Parts_Data!$H$2:$I$102,2,FALSE))</f>
        <v/>
      </c>
      <c r="AH23" s="63"/>
      <c r="AI23" s="27" t="str">
        <f>IF(AH23="","",VLOOKUP(AH23,Parts_Data!$D$2:$E$102,2,FALSE))</f>
        <v/>
      </c>
      <c r="AJ23" s="63"/>
      <c r="AK23" s="67"/>
      <c r="AL23" s="27" t="str">
        <f>IF(AJ23="","",VLOOKUP(AJ23,Parts_Data!$H$2:$I$102,2,FALSE))</f>
        <v/>
      </c>
      <c r="AM23" s="63"/>
      <c r="AN23" s="27" t="str">
        <f>IF(AM23="","",VLOOKUP(AM23,Parts_Data!$D$2:$E$102,2,FALSE))</f>
        <v/>
      </c>
      <c r="AO23" s="63"/>
      <c r="AP23" s="67"/>
      <c r="AQ23" s="27" t="str">
        <f>IF(AO23="","",VLOOKUP(AO23,Parts_Data!$H$2:$I$102,2,FALSE))</f>
        <v/>
      </c>
      <c r="AR23" s="63"/>
      <c r="AS23" s="27" t="str">
        <f>IF(AR23="","",VLOOKUP(AR23,Parts_Data!$D$2:$E$102,2,FALSE))</f>
        <v/>
      </c>
      <c r="AT23" s="63"/>
      <c r="AU23" s="67"/>
      <c r="AV23" s="27" t="str">
        <f>IF(AT23="","",VLOOKUP(AT23,Parts_Data!$H$2:$I$102,2,FALSE))</f>
        <v/>
      </c>
      <c r="AW23" s="63"/>
      <c r="AX23" s="27" t="str">
        <f>IF(AW23="","",VLOOKUP(AW23,Parts_Data!$D$2:$E$102,2,FALSE))</f>
        <v/>
      </c>
      <c r="AY23" s="63"/>
      <c r="AZ23" s="67"/>
      <c r="BA23" s="27" t="str">
        <f>IF(AY23="","",VLOOKUP(AY23,Parts_Data!$H$2:$I$102,2,FALSE))</f>
        <v/>
      </c>
      <c r="BB23" s="63"/>
      <c r="BC23" s="27" t="str">
        <f>IF(BB23="","",VLOOKUP(BB23,Parts_Data!$D$2:$E$102,2,FALSE))</f>
        <v/>
      </c>
      <c r="BD23" s="63"/>
      <c r="BE23" s="67"/>
      <c r="BF23" s="27" t="str">
        <f>IF(BD23="","",VLOOKUP(BD23,Parts_Data!$H$2:$I$102,2,FALSE))</f>
        <v/>
      </c>
      <c r="BG23" s="63"/>
      <c r="BH23" s="27" t="str">
        <f>IF(BG23="","",VLOOKUP(BG23,Parts_Data!$D$2:$E$102,2,FALSE))</f>
        <v/>
      </c>
      <c r="BI23" s="63"/>
      <c r="BJ23" s="67"/>
      <c r="BK23" s="27" t="str">
        <f>IF(BI23="","",VLOOKUP(BI23,Parts_Data!$H$2:$I$102,2,FALSE))</f>
        <v/>
      </c>
      <c r="BL23" s="63"/>
      <c r="BM23" s="27" t="str">
        <f>IF(BL23="","",VLOOKUP(BL23,Parts_Data!$D$2:$E$102,2,FALSE))</f>
        <v/>
      </c>
      <c r="BN23" s="63"/>
      <c r="BO23" s="67"/>
      <c r="BP23" s="27" t="str">
        <f>IF(BN23="","",VLOOKUP(BN23,Parts_Data!$H$2:$I$102,2,FALSE))</f>
        <v/>
      </c>
      <c r="BQ23" s="63"/>
      <c r="BR23" s="27" t="str">
        <f>IF(BQ23="","",VLOOKUP(BQ23,Parts_Data!$D$2:$E$102,2,FALSE))</f>
        <v/>
      </c>
      <c r="BS23" s="63"/>
      <c r="BT23" s="67"/>
      <c r="BU23" s="27" t="str">
        <f>IF(BS23="","",VLOOKUP(BS23,Parts_Data!$H$2:$I$102,2,FALSE))</f>
        <v/>
      </c>
      <c r="BV23" s="63"/>
      <c r="BW23" s="27" t="str">
        <f>IF(BV23="","",VLOOKUP(BV23,Parts_Data!$D$2:$E$102,2,FALSE))</f>
        <v/>
      </c>
      <c r="BX23" s="63"/>
      <c r="BY23" s="67"/>
      <c r="BZ23" s="27" t="str">
        <f>IF(BX23="","",VLOOKUP(BX23,Parts_Data!$H$2:$I$102,2,FALSE))</f>
        <v/>
      </c>
    </row>
    <row r="24" spans="1:78" ht="15.6" x14ac:dyDescent="0.3">
      <c r="A24" t="str">
        <f>VLOOKUP($E$9,Structure_Data!$E$3:$AJ$35,13,FALSE)</f>
        <v>x</v>
      </c>
      <c r="B24" s="30" t="str">
        <f>IF(A24="x",VLOOKUP($A$9,Structure_Data!$E$3:$AJ$35,13,FALSE),"")</f>
        <v>E226</v>
      </c>
      <c r="C24" s="19"/>
      <c r="D24" s="64"/>
      <c r="E24" s="26" t="str">
        <f>IF(D24="","",VLOOKUP(D24,Parts_Data!$D$2:$E$102,2,FALSE))</f>
        <v/>
      </c>
      <c r="F24" s="64"/>
      <c r="G24" s="68"/>
      <c r="H24" s="26" t="str">
        <f>IF(F24="","",VLOOKUP(F24,Parts_Data!$H$2:$I$102,2,FALSE))</f>
        <v/>
      </c>
      <c r="I24" s="64"/>
      <c r="J24" s="26" t="str">
        <f>IF(I24="","",VLOOKUP(I24,Parts_Data!$D$2:$E$102,2,FALSE))</f>
        <v/>
      </c>
      <c r="K24" s="64"/>
      <c r="L24" s="68"/>
      <c r="M24" s="26" t="str">
        <f>IF(K24="","",VLOOKUP(K24,Parts_Data!$H$2:$I$102,2,FALSE))</f>
        <v/>
      </c>
      <c r="N24" s="64"/>
      <c r="O24" s="26" t="str">
        <f>IF(N24="","",VLOOKUP(N24,Parts_Data!$D$2:$E$102,2,FALSE))</f>
        <v/>
      </c>
      <c r="P24" s="64"/>
      <c r="Q24" s="68"/>
      <c r="R24" s="26" t="str">
        <f>IF(P24="","",VLOOKUP(P24,Parts_Data!$H$2:$I$102,2,FALSE))</f>
        <v/>
      </c>
      <c r="S24" s="64"/>
      <c r="T24" s="26" t="str">
        <f>IF(S24="","",VLOOKUP(S24,Parts_Data!$D$2:$E$102,2,FALSE))</f>
        <v/>
      </c>
      <c r="U24" s="64"/>
      <c r="V24" s="68"/>
      <c r="W24" s="26" t="str">
        <f>IF(U24="","",VLOOKUP(U24,Parts_Data!$H$2:$I$102,2,FALSE))</f>
        <v/>
      </c>
      <c r="X24" s="64"/>
      <c r="Y24" s="26" t="str">
        <f>IF(X24="","",VLOOKUP(X24,Parts_Data!$D$2:$E$102,2,FALSE))</f>
        <v/>
      </c>
      <c r="Z24" s="64"/>
      <c r="AA24" s="68"/>
      <c r="AB24" s="26" t="str">
        <f>IF(Z24="","",VLOOKUP(Z24,Parts_Data!$H$2:$I$102,2,FALSE))</f>
        <v/>
      </c>
      <c r="AC24" s="64"/>
      <c r="AD24" s="26" t="str">
        <f>IF(AC24="","",VLOOKUP(AC24,Parts_Data!$D$2:$E$102,2,FALSE))</f>
        <v/>
      </c>
      <c r="AE24" s="64"/>
      <c r="AF24" s="68"/>
      <c r="AG24" s="26" t="str">
        <f>IF(AE24="","",VLOOKUP(AE24,Parts_Data!$H$2:$I$102,2,FALSE))</f>
        <v/>
      </c>
      <c r="AH24" s="64"/>
      <c r="AI24" s="26" t="str">
        <f>IF(AH24="","",VLOOKUP(AH24,Parts_Data!$D$2:$E$102,2,FALSE))</f>
        <v/>
      </c>
      <c r="AJ24" s="64"/>
      <c r="AK24" s="68"/>
      <c r="AL24" s="26" t="str">
        <f>IF(AJ24="","",VLOOKUP(AJ24,Parts_Data!$H$2:$I$102,2,FALSE))</f>
        <v/>
      </c>
      <c r="AM24" s="64"/>
      <c r="AN24" s="26" t="str">
        <f>IF(AM24="","",VLOOKUP(AM24,Parts_Data!$D$2:$E$102,2,FALSE))</f>
        <v/>
      </c>
      <c r="AO24" s="64"/>
      <c r="AP24" s="68"/>
      <c r="AQ24" s="26" t="str">
        <f>IF(AO24="","",VLOOKUP(AO24,Parts_Data!$H$2:$I$102,2,FALSE))</f>
        <v/>
      </c>
      <c r="AR24" s="64"/>
      <c r="AS24" s="26" t="str">
        <f>IF(AR24="","",VLOOKUP(AR24,Parts_Data!$D$2:$E$102,2,FALSE))</f>
        <v/>
      </c>
      <c r="AT24" s="64"/>
      <c r="AU24" s="68"/>
      <c r="AV24" s="26" t="str">
        <f>IF(AT24="","",VLOOKUP(AT24,Parts_Data!$H$2:$I$102,2,FALSE))</f>
        <v/>
      </c>
      <c r="AW24" s="64"/>
      <c r="AX24" s="26" t="str">
        <f>IF(AW24="","",VLOOKUP(AW24,Parts_Data!$D$2:$E$102,2,FALSE))</f>
        <v/>
      </c>
      <c r="AY24" s="64"/>
      <c r="AZ24" s="68"/>
      <c r="BA24" s="26" t="str">
        <f>IF(AY24="","",VLOOKUP(AY24,Parts_Data!$H$2:$I$102,2,FALSE))</f>
        <v/>
      </c>
      <c r="BB24" s="64"/>
      <c r="BC24" s="26" t="str">
        <f>IF(BB24="","",VLOOKUP(BB24,Parts_Data!$D$2:$E$102,2,FALSE))</f>
        <v/>
      </c>
      <c r="BD24" s="64"/>
      <c r="BE24" s="68"/>
      <c r="BF24" s="26" t="str">
        <f>IF(BD24="","",VLOOKUP(BD24,Parts_Data!$H$2:$I$102,2,FALSE))</f>
        <v/>
      </c>
      <c r="BG24" s="64"/>
      <c r="BH24" s="26" t="str">
        <f>IF(BG24="","",VLOOKUP(BG24,Parts_Data!$D$2:$E$102,2,FALSE))</f>
        <v/>
      </c>
      <c r="BI24" s="64"/>
      <c r="BJ24" s="68"/>
      <c r="BK24" s="26" t="str">
        <f>IF(BI24="","",VLOOKUP(BI24,Parts_Data!$H$2:$I$102,2,FALSE))</f>
        <v/>
      </c>
      <c r="BL24" s="64"/>
      <c r="BM24" s="26" t="str">
        <f>IF(BL24="","",VLOOKUP(BL24,Parts_Data!$D$2:$E$102,2,FALSE))</f>
        <v/>
      </c>
      <c r="BN24" s="64"/>
      <c r="BO24" s="68"/>
      <c r="BP24" s="26" t="str">
        <f>IF(BN24="","",VLOOKUP(BN24,Parts_Data!$H$2:$I$102,2,FALSE))</f>
        <v/>
      </c>
      <c r="BQ24" s="64"/>
      <c r="BR24" s="26" t="str">
        <f>IF(BQ24="","",VLOOKUP(BQ24,Parts_Data!$D$2:$E$102,2,FALSE))</f>
        <v/>
      </c>
      <c r="BS24" s="64"/>
      <c r="BT24" s="68"/>
      <c r="BU24" s="26" t="str">
        <f>IF(BS24="","",VLOOKUP(BS24,Parts_Data!$H$2:$I$102,2,FALSE))</f>
        <v/>
      </c>
      <c r="BV24" s="64"/>
      <c r="BW24" s="26" t="str">
        <f>IF(BV24="","",VLOOKUP(BV24,Parts_Data!$D$2:$E$102,2,FALSE))</f>
        <v/>
      </c>
      <c r="BX24" s="64"/>
      <c r="BY24" s="68"/>
      <c r="BZ24" s="26" t="str">
        <f>IF(BX24="","",VLOOKUP(BX24,Parts_Data!$H$2:$I$102,2,FALSE))</f>
        <v/>
      </c>
    </row>
    <row r="25" spans="1:78" ht="15.6" x14ac:dyDescent="0.3">
      <c r="A25" t="str">
        <f>VLOOKUP($E$9,Structure_Data!$E$3:$AJ$35,14,FALSE)</f>
        <v>x</v>
      </c>
      <c r="B25" s="30" t="str">
        <f>IF(A25="x",VLOOKUP($A$9,Structure_Data!$E$3:$AJ$35,14,FALSE),"")</f>
        <v>E232</v>
      </c>
      <c r="C25" s="18"/>
      <c r="D25" s="63"/>
      <c r="E25" s="27" t="str">
        <f>IF(D25="","",VLOOKUP(D25,Parts_Data!$D$2:$E$102,2,FALSE))</f>
        <v/>
      </c>
      <c r="F25" s="63"/>
      <c r="G25" s="67"/>
      <c r="H25" s="27" t="str">
        <f>IF(F25="","",VLOOKUP(F25,Parts_Data!$H$2:$I$102,2,FALSE))</f>
        <v/>
      </c>
      <c r="I25" s="63"/>
      <c r="J25" s="27" t="str">
        <f>IF(I25="","",VLOOKUP(I25,Parts_Data!$D$2:$E$102,2,FALSE))</f>
        <v/>
      </c>
      <c r="K25" s="63"/>
      <c r="L25" s="67"/>
      <c r="M25" s="27" t="str">
        <f>IF(K25="","",VLOOKUP(K25,Parts_Data!$H$2:$I$102,2,FALSE))</f>
        <v/>
      </c>
      <c r="N25" s="63"/>
      <c r="O25" s="27" t="str">
        <f>IF(N25="","",VLOOKUP(N25,Parts_Data!$D$2:$E$102,2,FALSE))</f>
        <v/>
      </c>
      <c r="P25" s="63"/>
      <c r="Q25" s="67"/>
      <c r="R25" s="27" t="str">
        <f>IF(P25="","",VLOOKUP(P25,Parts_Data!$H$2:$I$102,2,FALSE))</f>
        <v/>
      </c>
      <c r="S25" s="63"/>
      <c r="T25" s="27" t="str">
        <f>IF(S25="","",VLOOKUP(S25,Parts_Data!$D$2:$E$102,2,FALSE))</f>
        <v/>
      </c>
      <c r="U25" s="63"/>
      <c r="V25" s="67"/>
      <c r="W25" s="27" t="str">
        <f>IF(U25="","",VLOOKUP(U25,Parts_Data!$H$2:$I$102,2,FALSE))</f>
        <v/>
      </c>
      <c r="X25" s="63"/>
      <c r="Y25" s="27" t="str">
        <f>IF(X25="","",VLOOKUP(X25,Parts_Data!$D$2:$E$102,2,FALSE))</f>
        <v/>
      </c>
      <c r="Z25" s="63"/>
      <c r="AA25" s="67"/>
      <c r="AB25" s="27" t="str">
        <f>IF(Z25="","",VLOOKUP(Z25,Parts_Data!$H$2:$I$102,2,FALSE))</f>
        <v/>
      </c>
      <c r="AC25" s="63"/>
      <c r="AD25" s="27" t="str">
        <f>IF(AC25="","",VLOOKUP(AC25,Parts_Data!$D$2:$E$102,2,FALSE))</f>
        <v/>
      </c>
      <c r="AE25" s="63"/>
      <c r="AF25" s="67"/>
      <c r="AG25" s="27" t="str">
        <f>IF(AE25="","",VLOOKUP(AE25,Parts_Data!$H$2:$I$102,2,FALSE))</f>
        <v/>
      </c>
      <c r="AH25" s="63"/>
      <c r="AI25" s="27" t="str">
        <f>IF(AH25="","",VLOOKUP(AH25,Parts_Data!$D$2:$E$102,2,FALSE))</f>
        <v/>
      </c>
      <c r="AJ25" s="63"/>
      <c r="AK25" s="67"/>
      <c r="AL25" s="27" t="str">
        <f>IF(AJ25="","",VLOOKUP(AJ25,Parts_Data!$H$2:$I$102,2,FALSE))</f>
        <v/>
      </c>
      <c r="AM25" s="63"/>
      <c r="AN25" s="27" t="str">
        <f>IF(AM25="","",VLOOKUP(AM25,Parts_Data!$D$2:$E$102,2,FALSE))</f>
        <v/>
      </c>
      <c r="AO25" s="63"/>
      <c r="AP25" s="67"/>
      <c r="AQ25" s="27" t="str">
        <f>IF(AO25="","",VLOOKUP(AO25,Parts_Data!$H$2:$I$102,2,FALSE))</f>
        <v/>
      </c>
      <c r="AR25" s="63"/>
      <c r="AS25" s="27" t="str">
        <f>IF(AR25="","",VLOOKUP(AR25,Parts_Data!$D$2:$E$102,2,FALSE))</f>
        <v/>
      </c>
      <c r="AT25" s="63"/>
      <c r="AU25" s="67"/>
      <c r="AV25" s="27" t="str">
        <f>IF(AT25="","",VLOOKUP(AT25,Parts_Data!$H$2:$I$102,2,FALSE))</f>
        <v/>
      </c>
      <c r="AW25" s="63"/>
      <c r="AX25" s="27" t="str">
        <f>IF(AW25="","",VLOOKUP(AW25,Parts_Data!$D$2:$E$102,2,FALSE))</f>
        <v/>
      </c>
      <c r="AY25" s="63"/>
      <c r="AZ25" s="67"/>
      <c r="BA25" s="27" t="str">
        <f>IF(AY25="","",VLOOKUP(AY25,Parts_Data!$H$2:$I$102,2,FALSE))</f>
        <v/>
      </c>
      <c r="BB25" s="63"/>
      <c r="BC25" s="27" t="str">
        <f>IF(BB25="","",VLOOKUP(BB25,Parts_Data!$D$2:$E$102,2,FALSE))</f>
        <v/>
      </c>
      <c r="BD25" s="63"/>
      <c r="BE25" s="67"/>
      <c r="BF25" s="27" t="str">
        <f>IF(BD25="","",VLOOKUP(BD25,Parts_Data!$H$2:$I$102,2,FALSE))</f>
        <v/>
      </c>
      <c r="BG25" s="63"/>
      <c r="BH25" s="27" t="str">
        <f>IF(BG25="","",VLOOKUP(BG25,Parts_Data!$D$2:$E$102,2,FALSE))</f>
        <v/>
      </c>
      <c r="BI25" s="63"/>
      <c r="BJ25" s="67"/>
      <c r="BK25" s="27" t="str">
        <f>IF(BI25="","",VLOOKUP(BI25,Parts_Data!$H$2:$I$102,2,FALSE))</f>
        <v/>
      </c>
      <c r="BL25" s="63"/>
      <c r="BM25" s="27" t="str">
        <f>IF(BL25="","",VLOOKUP(BL25,Parts_Data!$D$2:$E$102,2,FALSE))</f>
        <v/>
      </c>
      <c r="BN25" s="63"/>
      <c r="BO25" s="67"/>
      <c r="BP25" s="27" t="str">
        <f>IF(BN25="","",VLOOKUP(BN25,Parts_Data!$H$2:$I$102,2,FALSE))</f>
        <v/>
      </c>
      <c r="BQ25" s="63"/>
      <c r="BR25" s="27" t="str">
        <f>IF(BQ25="","",VLOOKUP(BQ25,Parts_Data!$D$2:$E$102,2,FALSE))</f>
        <v/>
      </c>
      <c r="BS25" s="63"/>
      <c r="BT25" s="67"/>
      <c r="BU25" s="27" t="str">
        <f>IF(BS25="","",VLOOKUP(BS25,Parts_Data!$H$2:$I$102,2,FALSE))</f>
        <v/>
      </c>
      <c r="BV25" s="63"/>
      <c r="BW25" s="27" t="str">
        <f>IF(BV25="","",VLOOKUP(BV25,Parts_Data!$D$2:$E$102,2,FALSE))</f>
        <v/>
      </c>
      <c r="BX25" s="63"/>
      <c r="BY25" s="67"/>
      <c r="BZ25" s="27" t="str">
        <f>IF(BX25="","",VLOOKUP(BX25,Parts_Data!$H$2:$I$102,2,FALSE))</f>
        <v/>
      </c>
    </row>
    <row r="26" spans="1:78" ht="15.6" x14ac:dyDescent="0.3">
      <c r="A26" t="str">
        <f>VLOOKUP($E$9,Structure_Data!$E$3:$AJ$35,15,FALSE)</f>
        <v>x</v>
      </c>
      <c r="B26" s="30" t="str">
        <f>IF(A26="x",VLOOKUP($A$9,Structure_Data!$E$3:$AJ$35,15,FALSE),"")</f>
        <v>E252</v>
      </c>
      <c r="C26" s="19"/>
      <c r="D26" s="64"/>
      <c r="E26" s="26" t="str">
        <f>IF(D26="","",VLOOKUP(D26,Parts_Data!$D$2:$E$102,2,FALSE))</f>
        <v/>
      </c>
      <c r="F26" s="64"/>
      <c r="G26" s="68"/>
      <c r="H26" s="26" t="str">
        <f>IF(F26="","",VLOOKUP(F26,Parts_Data!$H$2:$I$102,2,FALSE))</f>
        <v/>
      </c>
      <c r="I26" s="64"/>
      <c r="J26" s="26" t="str">
        <f>IF(I26="","",VLOOKUP(I26,Parts_Data!$D$2:$E$102,2,FALSE))</f>
        <v/>
      </c>
      <c r="K26" s="64"/>
      <c r="L26" s="68"/>
      <c r="M26" s="26" t="str">
        <f>IF(K26="","",VLOOKUP(K26,Parts_Data!$H$2:$I$102,2,FALSE))</f>
        <v/>
      </c>
      <c r="N26" s="64"/>
      <c r="O26" s="26" t="str">
        <f>IF(N26="","",VLOOKUP(N26,Parts_Data!$D$2:$E$102,2,FALSE))</f>
        <v/>
      </c>
      <c r="P26" s="64"/>
      <c r="Q26" s="68"/>
      <c r="R26" s="26" t="str">
        <f>IF(P26="","",VLOOKUP(P26,Parts_Data!$H$2:$I$102,2,FALSE))</f>
        <v/>
      </c>
      <c r="S26" s="64"/>
      <c r="T26" s="26" t="str">
        <f>IF(S26="","",VLOOKUP(S26,Parts_Data!$D$2:$E$102,2,FALSE))</f>
        <v/>
      </c>
      <c r="U26" s="64"/>
      <c r="V26" s="68"/>
      <c r="W26" s="26" t="str">
        <f>IF(U26="","",VLOOKUP(U26,Parts_Data!$H$2:$I$102,2,FALSE))</f>
        <v/>
      </c>
      <c r="X26" s="64"/>
      <c r="Y26" s="26" t="str">
        <f>IF(X26="","",VLOOKUP(X26,Parts_Data!$D$2:$E$102,2,FALSE))</f>
        <v/>
      </c>
      <c r="Z26" s="64"/>
      <c r="AA26" s="68"/>
      <c r="AB26" s="26" t="str">
        <f>IF(Z26="","",VLOOKUP(Z26,Parts_Data!$H$2:$I$102,2,FALSE))</f>
        <v/>
      </c>
      <c r="AC26" s="64"/>
      <c r="AD26" s="26" t="str">
        <f>IF(AC26="","",VLOOKUP(AC26,Parts_Data!$D$2:$E$102,2,FALSE))</f>
        <v/>
      </c>
      <c r="AE26" s="64"/>
      <c r="AF26" s="68"/>
      <c r="AG26" s="26" t="str">
        <f>IF(AE26="","",VLOOKUP(AE26,Parts_Data!$H$2:$I$102,2,FALSE))</f>
        <v/>
      </c>
      <c r="AH26" s="64"/>
      <c r="AI26" s="26" t="str">
        <f>IF(AH26="","",VLOOKUP(AH26,Parts_Data!$D$2:$E$102,2,FALSE))</f>
        <v/>
      </c>
      <c r="AJ26" s="64"/>
      <c r="AK26" s="68"/>
      <c r="AL26" s="26" t="str">
        <f>IF(AJ26="","",VLOOKUP(AJ26,Parts_Data!$H$2:$I$102,2,FALSE))</f>
        <v/>
      </c>
      <c r="AM26" s="64"/>
      <c r="AN26" s="26" t="str">
        <f>IF(AM26="","",VLOOKUP(AM26,Parts_Data!$D$2:$E$102,2,FALSE))</f>
        <v/>
      </c>
      <c r="AO26" s="64"/>
      <c r="AP26" s="68"/>
      <c r="AQ26" s="26" t="str">
        <f>IF(AO26="","",VLOOKUP(AO26,Parts_Data!$H$2:$I$102,2,FALSE))</f>
        <v/>
      </c>
      <c r="AR26" s="64"/>
      <c r="AS26" s="26" t="str">
        <f>IF(AR26="","",VLOOKUP(AR26,Parts_Data!$D$2:$E$102,2,FALSE))</f>
        <v/>
      </c>
      <c r="AT26" s="64"/>
      <c r="AU26" s="68"/>
      <c r="AV26" s="26" t="str">
        <f>IF(AT26="","",VLOOKUP(AT26,Parts_Data!$H$2:$I$102,2,FALSE))</f>
        <v/>
      </c>
      <c r="AW26" s="64"/>
      <c r="AX26" s="26" t="str">
        <f>IF(AW26="","",VLOOKUP(AW26,Parts_Data!$D$2:$E$102,2,FALSE))</f>
        <v/>
      </c>
      <c r="AY26" s="64"/>
      <c r="AZ26" s="68"/>
      <c r="BA26" s="26" t="str">
        <f>IF(AY26="","",VLOOKUP(AY26,Parts_Data!$H$2:$I$102,2,FALSE))</f>
        <v/>
      </c>
      <c r="BB26" s="64"/>
      <c r="BC26" s="26" t="str">
        <f>IF(BB26="","",VLOOKUP(BB26,Parts_Data!$D$2:$E$102,2,FALSE))</f>
        <v/>
      </c>
      <c r="BD26" s="64"/>
      <c r="BE26" s="68"/>
      <c r="BF26" s="26" t="str">
        <f>IF(BD26="","",VLOOKUP(BD26,Parts_Data!$H$2:$I$102,2,FALSE))</f>
        <v/>
      </c>
      <c r="BG26" s="64"/>
      <c r="BH26" s="26" t="str">
        <f>IF(BG26="","",VLOOKUP(BG26,Parts_Data!$D$2:$E$102,2,FALSE))</f>
        <v/>
      </c>
      <c r="BI26" s="64"/>
      <c r="BJ26" s="68"/>
      <c r="BK26" s="26" t="str">
        <f>IF(BI26="","",VLOOKUP(BI26,Parts_Data!$H$2:$I$102,2,FALSE))</f>
        <v/>
      </c>
      <c r="BL26" s="64"/>
      <c r="BM26" s="26" t="str">
        <f>IF(BL26="","",VLOOKUP(BL26,Parts_Data!$D$2:$E$102,2,FALSE))</f>
        <v/>
      </c>
      <c r="BN26" s="64"/>
      <c r="BO26" s="68"/>
      <c r="BP26" s="26" t="str">
        <f>IF(BN26="","",VLOOKUP(BN26,Parts_Data!$H$2:$I$102,2,FALSE))</f>
        <v/>
      </c>
      <c r="BQ26" s="64"/>
      <c r="BR26" s="26" t="str">
        <f>IF(BQ26="","",VLOOKUP(BQ26,Parts_Data!$D$2:$E$102,2,FALSE))</f>
        <v/>
      </c>
      <c r="BS26" s="64"/>
      <c r="BT26" s="68"/>
      <c r="BU26" s="26" t="str">
        <f>IF(BS26="","",VLOOKUP(BS26,Parts_Data!$H$2:$I$102,2,FALSE))</f>
        <v/>
      </c>
      <c r="BV26" s="64"/>
      <c r="BW26" s="26" t="str">
        <f>IF(BV26="","",VLOOKUP(BV26,Parts_Data!$D$2:$E$102,2,FALSE))</f>
        <v/>
      </c>
      <c r="BX26" s="64"/>
      <c r="BY26" s="68"/>
      <c r="BZ26" s="26" t="str">
        <f>IF(BX26="","",VLOOKUP(BX26,Parts_Data!$H$2:$I$102,2,FALSE))</f>
        <v/>
      </c>
    </row>
    <row r="27" spans="1:78" ht="15.6" x14ac:dyDescent="0.3">
      <c r="A27" t="str">
        <f>VLOOKUP($E$9,Structure_Data!$E$3:$AJ$35,16,FALSE)</f>
        <v>x</v>
      </c>
      <c r="B27" s="30" t="str">
        <f>IF(A27="x",VLOOKUP($A$9,Structure_Data!$E$3:$AJ$35,16,FALSE),"")</f>
        <v>E258</v>
      </c>
      <c r="C27" s="18"/>
      <c r="D27" s="63"/>
      <c r="E27" s="27" t="str">
        <f>IF(D27="","",VLOOKUP(D27,Parts_Data!$D$2:$E$102,2,FALSE))</f>
        <v/>
      </c>
      <c r="F27" s="63"/>
      <c r="G27" s="67"/>
      <c r="H27" s="27" t="str">
        <f>IF(F27="","",VLOOKUP(F27,Parts_Data!$H$2:$I$102,2,FALSE))</f>
        <v/>
      </c>
      <c r="I27" s="63"/>
      <c r="J27" s="27" t="str">
        <f>IF(I27="","",VLOOKUP(I27,Parts_Data!$D$2:$E$102,2,FALSE))</f>
        <v/>
      </c>
      <c r="K27" s="63"/>
      <c r="L27" s="67"/>
      <c r="M27" s="27" t="str">
        <f>IF(K27="","",VLOOKUP(K27,Parts_Data!$H$2:$I$102,2,FALSE))</f>
        <v/>
      </c>
      <c r="N27" s="63"/>
      <c r="O27" s="27" t="str">
        <f>IF(N27="","",VLOOKUP(N27,Parts_Data!$D$2:$E$102,2,FALSE))</f>
        <v/>
      </c>
      <c r="P27" s="63"/>
      <c r="Q27" s="67"/>
      <c r="R27" s="27" t="str">
        <f>IF(P27="","",VLOOKUP(P27,Parts_Data!$H$2:$I$102,2,FALSE))</f>
        <v/>
      </c>
      <c r="S27" s="63"/>
      <c r="T27" s="27" t="str">
        <f>IF(S27="","",VLOOKUP(S27,Parts_Data!$D$2:$E$102,2,FALSE))</f>
        <v/>
      </c>
      <c r="U27" s="63"/>
      <c r="V27" s="67"/>
      <c r="W27" s="27" t="str">
        <f>IF(U27="","",VLOOKUP(U27,Parts_Data!$H$2:$I$102,2,FALSE))</f>
        <v/>
      </c>
      <c r="X27" s="63"/>
      <c r="Y27" s="27" t="str">
        <f>IF(X27="","",VLOOKUP(X27,Parts_Data!$D$2:$E$102,2,FALSE))</f>
        <v/>
      </c>
      <c r="Z27" s="63"/>
      <c r="AA27" s="67"/>
      <c r="AB27" s="27" t="str">
        <f>IF(Z27="","",VLOOKUP(Z27,Parts_Data!$H$2:$I$102,2,FALSE))</f>
        <v/>
      </c>
      <c r="AC27" s="63"/>
      <c r="AD27" s="27" t="str">
        <f>IF(AC27="","",VLOOKUP(AC27,Parts_Data!$D$2:$E$102,2,FALSE))</f>
        <v/>
      </c>
      <c r="AE27" s="63"/>
      <c r="AF27" s="67"/>
      <c r="AG27" s="27" t="str">
        <f>IF(AE27="","",VLOOKUP(AE27,Parts_Data!$H$2:$I$102,2,FALSE))</f>
        <v/>
      </c>
      <c r="AH27" s="63"/>
      <c r="AI27" s="27" t="str">
        <f>IF(AH27="","",VLOOKUP(AH27,Parts_Data!$D$2:$E$102,2,FALSE))</f>
        <v/>
      </c>
      <c r="AJ27" s="63"/>
      <c r="AK27" s="67"/>
      <c r="AL27" s="27" t="str">
        <f>IF(AJ27="","",VLOOKUP(AJ27,Parts_Data!$H$2:$I$102,2,FALSE))</f>
        <v/>
      </c>
      <c r="AM27" s="63"/>
      <c r="AN27" s="27" t="str">
        <f>IF(AM27="","",VLOOKUP(AM27,Parts_Data!$D$2:$E$102,2,FALSE))</f>
        <v/>
      </c>
      <c r="AO27" s="63"/>
      <c r="AP27" s="67"/>
      <c r="AQ27" s="27" t="str">
        <f>IF(AO27="","",VLOOKUP(AO27,Parts_Data!$H$2:$I$102,2,FALSE))</f>
        <v/>
      </c>
      <c r="AR27" s="63"/>
      <c r="AS27" s="27" t="str">
        <f>IF(AR27="","",VLOOKUP(AR27,Parts_Data!$D$2:$E$102,2,FALSE))</f>
        <v/>
      </c>
      <c r="AT27" s="63"/>
      <c r="AU27" s="67"/>
      <c r="AV27" s="27" t="str">
        <f>IF(AT27="","",VLOOKUP(AT27,Parts_Data!$H$2:$I$102,2,FALSE))</f>
        <v/>
      </c>
      <c r="AW27" s="63"/>
      <c r="AX27" s="27" t="str">
        <f>IF(AW27="","",VLOOKUP(AW27,Parts_Data!$D$2:$E$102,2,FALSE))</f>
        <v/>
      </c>
      <c r="AY27" s="63"/>
      <c r="AZ27" s="67"/>
      <c r="BA27" s="27" t="str">
        <f>IF(AY27="","",VLOOKUP(AY27,Parts_Data!$H$2:$I$102,2,FALSE))</f>
        <v/>
      </c>
      <c r="BB27" s="63"/>
      <c r="BC27" s="27" t="str">
        <f>IF(BB27="","",VLOOKUP(BB27,Parts_Data!$D$2:$E$102,2,FALSE))</f>
        <v/>
      </c>
      <c r="BD27" s="63"/>
      <c r="BE27" s="67"/>
      <c r="BF27" s="27" t="str">
        <f>IF(BD27="","",VLOOKUP(BD27,Parts_Data!$H$2:$I$102,2,FALSE))</f>
        <v/>
      </c>
      <c r="BG27" s="63"/>
      <c r="BH27" s="27" t="str">
        <f>IF(BG27="","",VLOOKUP(BG27,Parts_Data!$D$2:$E$102,2,FALSE))</f>
        <v/>
      </c>
      <c r="BI27" s="63"/>
      <c r="BJ27" s="67"/>
      <c r="BK27" s="27" t="str">
        <f>IF(BI27="","",VLOOKUP(BI27,Parts_Data!$H$2:$I$102,2,FALSE))</f>
        <v/>
      </c>
      <c r="BL27" s="63"/>
      <c r="BM27" s="27" t="str">
        <f>IF(BL27="","",VLOOKUP(BL27,Parts_Data!$D$2:$E$102,2,FALSE))</f>
        <v/>
      </c>
      <c r="BN27" s="63"/>
      <c r="BO27" s="67"/>
      <c r="BP27" s="27" t="str">
        <f>IF(BN27="","",VLOOKUP(BN27,Parts_Data!$H$2:$I$102,2,FALSE))</f>
        <v/>
      </c>
      <c r="BQ27" s="63"/>
      <c r="BR27" s="27" t="str">
        <f>IF(BQ27="","",VLOOKUP(BQ27,Parts_Data!$D$2:$E$102,2,FALSE))</f>
        <v/>
      </c>
      <c r="BS27" s="63"/>
      <c r="BT27" s="67"/>
      <c r="BU27" s="27" t="str">
        <f>IF(BS27="","",VLOOKUP(BS27,Parts_Data!$H$2:$I$102,2,FALSE))</f>
        <v/>
      </c>
      <c r="BV27" s="63"/>
      <c r="BW27" s="27" t="str">
        <f>IF(BV27="","",VLOOKUP(BV27,Parts_Data!$D$2:$E$102,2,FALSE))</f>
        <v/>
      </c>
      <c r="BX27" s="63"/>
      <c r="BY27" s="67"/>
      <c r="BZ27" s="27" t="str">
        <f>IF(BX27="","",VLOOKUP(BX27,Parts_Data!$H$2:$I$102,2,FALSE))</f>
        <v/>
      </c>
    </row>
    <row r="28" spans="1:78" ht="15.6" x14ac:dyDescent="0.3">
      <c r="A28" t="str">
        <f>VLOOKUP($E$9,Structure_Data!$E$3:$AJ$35,17,FALSE)</f>
        <v>x</v>
      </c>
      <c r="B28" s="30" t="str">
        <f>IF(A28="x",VLOOKUP($A$9,Structure_Data!$E$3:$AJ$35,17,FALSE),"")</f>
        <v>E264</v>
      </c>
      <c r="C28" s="19"/>
      <c r="D28" s="64"/>
      <c r="E28" s="26" t="str">
        <f>IF(D28="","",VLOOKUP(D28,Parts_Data!$D$2:$E$102,2,FALSE))</f>
        <v/>
      </c>
      <c r="F28" s="64"/>
      <c r="G28" s="68"/>
      <c r="H28" s="26" t="str">
        <f>IF(F28="","",VLOOKUP(F28,Parts_Data!$H$2:$I$102,2,FALSE))</f>
        <v/>
      </c>
      <c r="I28" s="64"/>
      <c r="J28" s="26" t="str">
        <f>IF(I28="","",VLOOKUP(I28,Parts_Data!$D$2:$E$102,2,FALSE))</f>
        <v/>
      </c>
      <c r="K28" s="64"/>
      <c r="L28" s="68"/>
      <c r="M28" s="26" t="str">
        <f>IF(K28="","",VLOOKUP(K28,Parts_Data!$H$2:$I$102,2,FALSE))</f>
        <v/>
      </c>
      <c r="N28" s="64"/>
      <c r="O28" s="26" t="str">
        <f>IF(N28="","",VLOOKUP(N28,Parts_Data!$D$2:$E$102,2,FALSE))</f>
        <v/>
      </c>
      <c r="P28" s="64"/>
      <c r="Q28" s="68"/>
      <c r="R28" s="26" t="str">
        <f>IF(P28="","",VLOOKUP(P28,Parts_Data!$H$2:$I$102,2,FALSE))</f>
        <v/>
      </c>
      <c r="S28" s="64"/>
      <c r="T28" s="26" t="str">
        <f>IF(S28="","",VLOOKUP(S28,Parts_Data!$D$2:$E$102,2,FALSE))</f>
        <v/>
      </c>
      <c r="U28" s="64"/>
      <c r="V28" s="68"/>
      <c r="W28" s="26" t="str">
        <f>IF(U28="","",VLOOKUP(U28,Parts_Data!$H$2:$I$102,2,FALSE))</f>
        <v/>
      </c>
      <c r="X28" s="64"/>
      <c r="Y28" s="26" t="str">
        <f>IF(X28="","",VLOOKUP(X28,Parts_Data!$D$2:$E$102,2,FALSE))</f>
        <v/>
      </c>
      <c r="Z28" s="64"/>
      <c r="AA28" s="68"/>
      <c r="AB28" s="26" t="str">
        <f>IF(Z28="","",VLOOKUP(Z28,Parts_Data!$H$2:$I$102,2,FALSE))</f>
        <v/>
      </c>
      <c r="AC28" s="64"/>
      <c r="AD28" s="26" t="str">
        <f>IF(AC28="","",VLOOKUP(AC28,Parts_Data!$D$2:$E$102,2,FALSE))</f>
        <v/>
      </c>
      <c r="AE28" s="64"/>
      <c r="AF28" s="68"/>
      <c r="AG28" s="26" t="str">
        <f>IF(AE28="","",VLOOKUP(AE28,Parts_Data!$H$2:$I$102,2,FALSE))</f>
        <v/>
      </c>
      <c r="AH28" s="64"/>
      <c r="AI28" s="26" t="str">
        <f>IF(AH28="","",VLOOKUP(AH28,Parts_Data!$D$2:$E$102,2,FALSE))</f>
        <v/>
      </c>
      <c r="AJ28" s="64"/>
      <c r="AK28" s="68"/>
      <c r="AL28" s="26" t="str">
        <f>IF(AJ28="","",VLOOKUP(AJ28,Parts_Data!$H$2:$I$102,2,FALSE))</f>
        <v/>
      </c>
      <c r="AM28" s="64"/>
      <c r="AN28" s="26" t="str">
        <f>IF(AM28="","",VLOOKUP(AM28,Parts_Data!$D$2:$E$102,2,FALSE))</f>
        <v/>
      </c>
      <c r="AO28" s="64"/>
      <c r="AP28" s="68"/>
      <c r="AQ28" s="26" t="str">
        <f>IF(AO28="","",VLOOKUP(AO28,Parts_Data!$H$2:$I$102,2,FALSE))</f>
        <v/>
      </c>
      <c r="AR28" s="64"/>
      <c r="AS28" s="26" t="str">
        <f>IF(AR28="","",VLOOKUP(AR28,Parts_Data!$D$2:$E$102,2,FALSE))</f>
        <v/>
      </c>
      <c r="AT28" s="64"/>
      <c r="AU28" s="68"/>
      <c r="AV28" s="26" t="str">
        <f>IF(AT28="","",VLOOKUP(AT28,Parts_Data!$H$2:$I$102,2,FALSE))</f>
        <v/>
      </c>
      <c r="AW28" s="64"/>
      <c r="AX28" s="26" t="str">
        <f>IF(AW28="","",VLOOKUP(AW28,Parts_Data!$D$2:$E$102,2,FALSE))</f>
        <v/>
      </c>
      <c r="AY28" s="64"/>
      <c r="AZ28" s="68"/>
      <c r="BA28" s="26" t="str">
        <f>IF(AY28="","",VLOOKUP(AY28,Parts_Data!$H$2:$I$102,2,FALSE))</f>
        <v/>
      </c>
      <c r="BB28" s="64"/>
      <c r="BC28" s="26" t="str">
        <f>IF(BB28="","",VLOOKUP(BB28,Parts_Data!$D$2:$E$102,2,FALSE))</f>
        <v/>
      </c>
      <c r="BD28" s="64"/>
      <c r="BE28" s="68"/>
      <c r="BF28" s="26" t="str">
        <f>IF(BD28="","",VLOOKUP(BD28,Parts_Data!$H$2:$I$102,2,FALSE))</f>
        <v/>
      </c>
      <c r="BG28" s="64"/>
      <c r="BH28" s="26" t="str">
        <f>IF(BG28="","",VLOOKUP(BG28,Parts_Data!$D$2:$E$102,2,FALSE))</f>
        <v/>
      </c>
      <c r="BI28" s="64"/>
      <c r="BJ28" s="68"/>
      <c r="BK28" s="26" t="str">
        <f>IF(BI28="","",VLOOKUP(BI28,Parts_Data!$H$2:$I$102,2,FALSE))</f>
        <v/>
      </c>
      <c r="BL28" s="64"/>
      <c r="BM28" s="26" t="str">
        <f>IF(BL28="","",VLOOKUP(BL28,Parts_Data!$D$2:$E$102,2,FALSE))</f>
        <v/>
      </c>
      <c r="BN28" s="64"/>
      <c r="BO28" s="68"/>
      <c r="BP28" s="26" t="str">
        <f>IF(BN28="","",VLOOKUP(BN28,Parts_Data!$H$2:$I$102,2,FALSE))</f>
        <v/>
      </c>
      <c r="BQ28" s="64"/>
      <c r="BR28" s="26" t="str">
        <f>IF(BQ28="","",VLOOKUP(BQ28,Parts_Data!$D$2:$E$102,2,FALSE))</f>
        <v/>
      </c>
      <c r="BS28" s="64"/>
      <c r="BT28" s="68"/>
      <c r="BU28" s="26" t="str">
        <f>IF(BS28="","",VLOOKUP(BS28,Parts_Data!$H$2:$I$102,2,FALSE))</f>
        <v/>
      </c>
      <c r="BV28" s="64"/>
      <c r="BW28" s="26" t="str">
        <f>IF(BV28="","",VLOOKUP(BV28,Parts_Data!$D$2:$E$102,2,FALSE))</f>
        <v/>
      </c>
      <c r="BX28" s="64"/>
      <c r="BY28" s="68"/>
      <c r="BZ28" s="26" t="str">
        <f>IF(BX28="","",VLOOKUP(BX28,Parts_Data!$H$2:$I$102,2,FALSE))</f>
        <v/>
      </c>
    </row>
    <row r="29" spans="1:78" ht="15.6" x14ac:dyDescent="0.3">
      <c r="A29">
        <f>VLOOKUP($E$9,Structure_Data!$E$3:$AJ$35,18,FALSE)</f>
        <v>0</v>
      </c>
      <c r="B29" s="30" t="str">
        <f>IF(A29="x",VLOOKUP($A$9,Structure_Data!$E$3:$AJ$35,18,FALSE),"")</f>
        <v/>
      </c>
      <c r="C29" s="18"/>
      <c r="D29" s="63"/>
      <c r="E29" s="27" t="str">
        <f>IF(D29="","",VLOOKUP(D29,Parts_Data!$D$2:$E$102,2,FALSE))</f>
        <v/>
      </c>
      <c r="F29" s="63"/>
      <c r="G29" s="67"/>
      <c r="H29" s="27" t="str">
        <f>IF(F29="","",VLOOKUP(F29,Parts_Data!$H$2:$I$102,2,FALSE))</f>
        <v/>
      </c>
      <c r="I29" s="63"/>
      <c r="J29" s="27" t="str">
        <f>IF(I29="","",VLOOKUP(I29,Parts_Data!$D$2:$E$102,2,FALSE))</f>
        <v/>
      </c>
      <c r="K29" s="63"/>
      <c r="L29" s="67"/>
      <c r="M29" s="27" t="str">
        <f>IF(K29="","",VLOOKUP(K29,Parts_Data!$H$2:$I$102,2,FALSE))</f>
        <v/>
      </c>
      <c r="N29" s="63"/>
      <c r="O29" s="27" t="str">
        <f>IF(N29="","",VLOOKUP(N29,Parts_Data!$D$2:$E$102,2,FALSE))</f>
        <v/>
      </c>
      <c r="P29" s="63"/>
      <c r="Q29" s="67"/>
      <c r="R29" s="27" t="str">
        <f>IF(P29="","",VLOOKUP(P29,Parts_Data!$H$2:$I$102,2,FALSE))</f>
        <v/>
      </c>
      <c r="S29" s="63"/>
      <c r="T29" s="27" t="str">
        <f>IF(S29="","",VLOOKUP(S29,Parts_Data!$D$2:$E$102,2,FALSE))</f>
        <v/>
      </c>
      <c r="U29" s="63"/>
      <c r="V29" s="67"/>
      <c r="W29" s="27" t="str">
        <f>IF(U29="","",VLOOKUP(U29,Parts_Data!$H$2:$I$102,2,FALSE))</f>
        <v/>
      </c>
      <c r="X29" s="63"/>
      <c r="Y29" s="27" t="str">
        <f>IF(X29="","",VLOOKUP(X29,Parts_Data!$D$2:$E$102,2,FALSE))</f>
        <v/>
      </c>
      <c r="Z29" s="63"/>
      <c r="AA29" s="67"/>
      <c r="AB29" s="27" t="str">
        <f>IF(Z29="","",VLOOKUP(Z29,Parts_Data!$H$2:$I$102,2,FALSE))</f>
        <v/>
      </c>
      <c r="AC29" s="63"/>
      <c r="AD29" s="27" t="str">
        <f>IF(AC29="","",VLOOKUP(AC29,Parts_Data!$D$2:$E$102,2,FALSE))</f>
        <v/>
      </c>
      <c r="AE29" s="63"/>
      <c r="AF29" s="67"/>
      <c r="AG29" s="27" t="str">
        <f>IF(AE29="","",VLOOKUP(AE29,Parts_Data!$H$2:$I$102,2,FALSE))</f>
        <v/>
      </c>
      <c r="AH29" s="63"/>
      <c r="AI29" s="27" t="str">
        <f>IF(AH29="","",VLOOKUP(AH29,Parts_Data!$D$2:$E$102,2,FALSE))</f>
        <v/>
      </c>
      <c r="AJ29" s="63"/>
      <c r="AK29" s="67"/>
      <c r="AL29" s="27" t="str">
        <f>IF(AJ29="","",VLOOKUP(AJ29,Parts_Data!$H$2:$I$102,2,FALSE))</f>
        <v/>
      </c>
      <c r="AM29" s="63"/>
      <c r="AN29" s="27" t="str">
        <f>IF(AM29="","",VLOOKUP(AM29,Parts_Data!$D$2:$E$102,2,FALSE))</f>
        <v/>
      </c>
      <c r="AO29" s="63"/>
      <c r="AP29" s="67"/>
      <c r="AQ29" s="27" t="str">
        <f>IF(AO29="","",VLOOKUP(AO29,Parts_Data!$H$2:$I$102,2,FALSE))</f>
        <v/>
      </c>
      <c r="AR29" s="63"/>
      <c r="AS29" s="27" t="str">
        <f>IF(AR29="","",VLOOKUP(AR29,Parts_Data!$D$2:$E$102,2,FALSE))</f>
        <v/>
      </c>
      <c r="AT29" s="63"/>
      <c r="AU29" s="67"/>
      <c r="AV29" s="27" t="str">
        <f>IF(AT29="","",VLOOKUP(AT29,Parts_Data!$H$2:$I$102,2,FALSE))</f>
        <v/>
      </c>
      <c r="AW29" s="63"/>
      <c r="AX29" s="27" t="str">
        <f>IF(AW29="","",VLOOKUP(AW29,Parts_Data!$D$2:$E$102,2,FALSE))</f>
        <v/>
      </c>
      <c r="AY29" s="63"/>
      <c r="AZ29" s="67"/>
      <c r="BA29" s="27" t="str">
        <f>IF(AY29="","",VLOOKUP(AY29,Parts_Data!$H$2:$I$102,2,FALSE))</f>
        <v/>
      </c>
      <c r="BB29" s="63"/>
      <c r="BC29" s="27" t="str">
        <f>IF(BB29="","",VLOOKUP(BB29,Parts_Data!$D$2:$E$102,2,FALSE))</f>
        <v/>
      </c>
      <c r="BD29" s="63"/>
      <c r="BE29" s="67"/>
      <c r="BF29" s="27" t="str">
        <f>IF(BD29="","",VLOOKUP(BD29,Parts_Data!$H$2:$I$102,2,FALSE))</f>
        <v/>
      </c>
      <c r="BG29" s="63"/>
      <c r="BH29" s="27" t="str">
        <f>IF(BG29="","",VLOOKUP(BG29,Parts_Data!$D$2:$E$102,2,FALSE))</f>
        <v/>
      </c>
      <c r="BI29" s="63"/>
      <c r="BJ29" s="67"/>
      <c r="BK29" s="27" t="str">
        <f>IF(BI29="","",VLOOKUP(BI29,Parts_Data!$H$2:$I$102,2,FALSE))</f>
        <v/>
      </c>
      <c r="BL29" s="63"/>
      <c r="BM29" s="27" t="str">
        <f>IF(BL29="","",VLOOKUP(BL29,Parts_Data!$D$2:$E$102,2,FALSE))</f>
        <v/>
      </c>
      <c r="BN29" s="63"/>
      <c r="BO29" s="67"/>
      <c r="BP29" s="27" t="str">
        <f>IF(BN29="","",VLOOKUP(BN29,Parts_Data!$H$2:$I$102,2,FALSE))</f>
        <v/>
      </c>
      <c r="BQ29" s="63"/>
      <c r="BR29" s="27" t="str">
        <f>IF(BQ29="","",VLOOKUP(BQ29,Parts_Data!$D$2:$E$102,2,FALSE))</f>
        <v/>
      </c>
      <c r="BS29" s="63"/>
      <c r="BT29" s="67"/>
      <c r="BU29" s="27" t="str">
        <f>IF(BS29="","",VLOOKUP(BS29,Parts_Data!$H$2:$I$102,2,FALSE))</f>
        <v/>
      </c>
      <c r="BV29" s="63"/>
      <c r="BW29" s="27" t="str">
        <f>IF(BV29="","",VLOOKUP(BV29,Parts_Data!$D$2:$E$102,2,FALSE))</f>
        <v/>
      </c>
      <c r="BX29" s="63"/>
      <c r="BY29" s="67"/>
      <c r="BZ29" s="27" t="str">
        <f>IF(BX29="","",VLOOKUP(BX29,Parts_Data!$H$2:$I$102,2,FALSE))</f>
        <v/>
      </c>
    </row>
    <row r="30" spans="1:78" ht="15.6" x14ac:dyDescent="0.3">
      <c r="A30">
        <f>VLOOKUP($E$9,Structure_Data!$E$3:$AJ$35,19,FALSE)</f>
        <v>0</v>
      </c>
      <c r="B30" s="30" t="str">
        <f>IF(A30="x",VLOOKUP($A$9,Structure_Data!$E$3:$AJ$35,19,FALSE),"")</f>
        <v/>
      </c>
      <c r="C30" s="19"/>
      <c r="D30" s="64"/>
      <c r="E30" s="26" t="str">
        <f>IF(D30="","",VLOOKUP(D30,Parts_Data!$D$2:$E$102,2,FALSE))</f>
        <v/>
      </c>
      <c r="F30" s="64"/>
      <c r="G30" s="68"/>
      <c r="H30" s="26" t="str">
        <f>IF(F30="","",VLOOKUP(F30,Parts_Data!$H$2:$I$102,2,FALSE))</f>
        <v/>
      </c>
      <c r="I30" s="64"/>
      <c r="J30" s="26" t="str">
        <f>IF(I30="","",VLOOKUP(I30,Parts_Data!$D$2:$E$102,2,FALSE))</f>
        <v/>
      </c>
      <c r="K30" s="64"/>
      <c r="L30" s="68"/>
      <c r="M30" s="26" t="str">
        <f>IF(K30="","",VLOOKUP(K30,Parts_Data!$H$2:$I$102,2,FALSE))</f>
        <v/>
      </c>
      <c r="N30" s="64"/>
      <c r="O30" s="26" t="str">
        <f>IF(N30="","",VLOOKUP(N30,Parts_Data!$D$2:$E$102,2,FALSE))</f>
        <v/>
      </c>
      <c r="P30" s="64"/>
      <c r="Q30" s="68"/>
      <c r="R30" s="26" t="str">
        <f>IF(P30="","",VLOOKUP(P30,Parts_Data!$H$2:$I$102,2,FALSE))</f>
        <v/>
      </c>
      <c r="S30" s="64"/>
      <c r="T30" s="26" t="str">
        <f>IF(S30="","",VLOOKUP(S30,Parts_Data!$D$2:$E$102,2,FALSE))</f>
        <v/>
      </c>
      <c r="U30" s="64"/>
      <c r="V30" s="68"/>
      <c r="W30" s="26" t="str">
        <f>IF(U30="","",VLOOKUP(U30,Parts_Data!$H$2:$I$102,2,FALSE))</f>
        <v/>
      </c>
      <c r="X30" s="64"/>
      <c r="Y30" s="26" t="str">
        <f>IF(X30="","",VLOOKUP(X30,Parts_Data!$D$2:$E$102,2,FALSE))</f>
        <v/>
      </c>
      <c r="Z30" s="64"/>
      <c r="AA30" s="68"/>
      <c r="AB30" s="26" t="str">
        <f>IF(Z30="","",VLOOKUP(Z30,Parts_Data!$H$2:$I$102,2,FALSE))</f>
        <v/>
      </c>
      <c r="AC30" s="64"/>
      <c r="AD30" s="26" t="str">
        <f>IF(AC30="","",VLOOKUP(AC30,Parts_Data!$D$2:$E$102,2,FALSE))</f>
        <v/>
      </c>
      <c r="AE30" s="64"/>
      <c r="AF30" s="68"/>
      <c r="AG30" s="26" t="str">
        <f>IF(AE30="","",VLOOKUP(AE30,Parts_Data!$H$2:$I$102,2,FALSE))</f>
        <v/>
      </c>
      <c r="AH30" s="64"/>
      <c r="AI30" s="26" t="str">
        <f>IF(AH30="","",VLOOKUP(AH30,Parts_Data!$D$2:$E$102,2,FALSE))</f>
        <v/>
      </c>
      <c r="AJ30" s="64"/>
      <c r="AK30" s="68"/>
      <c r="AL30" s="26" t="str">
        <f>IF(AJ30="","",VLOOKUP(AJ30,Parts_Data!$H$2:$I$102,2,FALSE))</f>
        <v/>
      </c>
      <c r="AM30" s="64"/>
      <c r="AN30" s="26" t="str">
        <f>IF(AM30="","",VLOOKUP(AM30,Parts_Data!$D$2:$E$102,2,FALSE))</f>
        <v/>
      </c>
      <c r="AO30" s="64"/>
      <c r="AP30" s="68"/>
      <c r="AQ30" s="26" t="str">
        <f>IF(AO30="","",VLOOKUP(AO30,Parts_Data!$H$2:$I$102,2,FALSE))</f>
        <v/>
      </c>
      <c r="AR30" s="64"/>
      <c r="AS30" s="26" t="str">
        <f>IF(AR30="","",VLOOKUP(AR30,Parts_Data!$D$2:$E$102,2,FALSE))</f>
        <v/>
      </c>
      <c r="AT30" s="64"/>
      <c r="AU30" s="68"/>
      <c r="AV30" s="26" t="str">
        <f>IF(AT30="","",VLOOKUP(AT30,Parts_Data!$H$2:$I$102,2,FALSE))</f>
        <v/>
      </c>
      <c r="AW30" s="64"/>
      <c r="AX30" s="26" t="str">
        <f>IF(AW30="","",VLOOKUP(AW30,Parts_Data!$D$2:$E$102,2,FALSE))</f>
        <v/>
      </c>
      <c r="AY30" s="64"/>
      <c r="AZ30" s="68"/>
      <c r="BA30" s="26" t="str">
        <f>IF(AY30="","",VLOOKUP(AY30,Parts_Data!$H$2:$I$102,2,FALSE))</f>
        <v/>
      </c>
      <c r="BB30" s="64"/>
      <c r="BC30" s="26" t="str">
        <f>IF(BB30="","",VLOOKUP(BB30,Parts_Data!$D$2:$E$102,2,FALSE))</f>
        <v/>
      </c>
      <c r="BD30" s="64"/>
      <c r="BE30" s="68"/>
      <c r="BF30" s="26" t="str">
        <f>IF(BD30="","",VLOOKUP(BD30,Parts_Data!$H$2:$I$102,2,FALSE))</f>
        <v/>
      </c>
      <c r="BG30" s="64"/>
      <c r="BH30" s="26" t="str">
        <f>IF(BG30="","",VLOOKUP(BG30,Parts_Data!$D$2:$E$102,2,FALSE))</f>
        <v/>
      </c>
      <c r="BI30" s="64"/>
      <c r="BJ30" s="68"/>
      <c r="BK30" s="26" t="str">
        <f>IF(BI30="","",VLOOKUP(BI30,Parts_Data!$H$2:$I$102,2,FALSE))</f>
        <v/>
      </c>
      <c r="BL30" s="64"/>
      <c r="BM30" s="26" t="str">
        <f>IF(BL30="","",VLOOKUP(BL30,Parts_Data!$D$2:$E$102,2,FALSE))</f>
        <v/>
      </c>
      <c r="BN30" s="64"/>
      <c r="BO30" s="68"/>
      <c r="BP30" s="26" t="str">
        <f>IF(BN30="","",VLOOKUP(BN30,Parts_Data!$H$2:$I$102,2,FALSE))</f>
        <v/>
      </c>
      <c r="BQ30" s="64"/>
      <c r="BR30" s="26" t="str">
        <f>IF(BQ30="","",VLOOKUP(BQ30,Parts_Data!$D$2:$E$102,2,FALSE))</f>
        <v/>
      </c>
      <c r="BS30" s="64"/>
      <c r="BT30" s="68"/>
      <c r="BU30" s="26" t="str">
        <f>IF(BS30="","",VLOOKUP(BS30,Parts_Data!$H$2:$I$102,2,FALSE))</f>
        <v/>
      </c>
      <c r="BV30" s="64"/>
      <c r="BW30" s="26" t="str">
        <f>IF(BV30="","",VLOOKUP(BV30,Parts_Data!$D$2:$E$102,2,FALSE))</f>
        <v/>
      </c>
      <c r="BX30" s="64"/>
      <c r="BY30" s="68"/>
      <c r="BZ30" s="26" t="str">
        <f>IF(BX30="","",VLOOKUP(BX30,Parts_Data!$H$2:$I$102,2,FALSE))</f>
        <v/>
      </c>
    </row>
    <row r="31" spans="1:78" ht="15.6" x14ac:dyDescent="0.3">
      <c r="A31">
        <f>VLOOKUP($E$9,Structure_Data!$E$3:$AJ$35,20,FALSE)</f>
        <v>0</v>
      </c>
      <c r="B31" s="30" t="str">
        <f>IF(A31="x",VLOOKUP($A$9,Structure_Data!$E$3:$AJ$35,20,FALSE),"")</f>
        <v/>
      </c>
      <c r="C31" s="18"/>
      <c r="D31" s="63"/>
      <c r="E31" s="27" t="str">
        <f>IF(D31="","",VLOOKUP(D31,Parts_Data!$D$2:$E$102,2,FALSE))</f>
        <v/>
      </c>
      <c r="F31" s="63"/>
      <c r="G31" s="67"/>
      <c r="H31" s="27" t="str">
        <f>IF(F31="","",VLOOKUP(F31,Parts_Data!$H$2:$I$102,2,FALSE))</f>
        <v/>
      </c>
      <c r="I31" s="63"/>
      <c r="J31" s="27" t="str">
        <f>IF(I31="","",VLOOKUP(I31,Parts_Data!$D$2:$E$102,2,FALSE))</f>
        <v/>
      </c>
      <c r="K31" s="63"/>
      <c r="L31" s="67"/>
      <c r="M31" s="27" t="str">
        <f>IF(K31="","",VLOOKUP(K31,Parts_Data!$H$2:$I$102,2,FALSE))</f>
        <v/>
      </c>
      <c r="N31" s="63"/>
      <c r="O31" s="27" t="str">
        <f>IF(N31="","",VLOOKUP(N31,Parts_Data!$D$2:$E$102,2,FALSE))</f>
        <v/>
      </c>
      <c r="P31" s="63"/>
      <c r="Q31" s="67"/>
      <c r="R31" s="27" t="str">
        <f>IF(P31="","",VLOOKUP(P31,Parts_Data!$H$2:$I$102,2,FALSE))</f>
        <v/>
      </c>
      <c r="S31" s="63"/>
      <c r="T31" s="27" t="str">
        <f>IF(S31="","",VLOOKUP(S31,Parts_Data!$D$2:$E$102,2,FALSE))</f>
        <v/>
      </c>
      <c r="U31" s="63"/>
      <c r="V31" s="67"/>
      <c r="W31" s="27" t="str">
        <f>IF(U31="","",VLOOKUP(U31,Parts_Data!$H$2:$I$102,2,FALSE))</f>
        <v/>
      </c>
      <c r="X31" s="63"/>
      <c r="Y31" s="27" t="str">
        <f>IF(X31="","",VLOOKUP(X31,Parts_Data!$D$2:$E$102,2,FALSE))</f>
        <v/>
      </c>
      <c r="Z31" s="63"/>
      <c r="AA31" s="67"/>
      <c r="AB31" s="27" t="str">
        <f>IF(Z31="","",VLOOKUP(Z31,Parts_Data!$H$2:$I$102,2,FALSE))</f>
        <v/>
      </c>
      <c r="AC31" s="63"/>
      <c r="AD31" s="27" t="str">
        <f>IF(AC31="","",VLOOKUP(AC31,Parts_Data!$D$2:$E$102,2,FALSE))</f>
        <v/>
      </c>
      <c r="AE31" s="63"/>
      <c r="AF31" s="67"/>
      <c r="AG31" s="27" t="str">
        <f>IF(AE31="","",VLOOKUP(AE31,Parts_Data!$H$2:$I$102,2,FALSE))</f>
        <v/>
      </c>
      <c r="AH31" s="63"/>
      <c r="AI31" s="27" t="str">
        <f>IF(AH31="","",VLOOKUP(AH31,Parts_Data!$D$2:$E$102,2,FALSE))</f>
        <v/>
      </c>
      <c r="AJ31" s="63"/>
      <c r="AK31" s="67"/>
      <c r="AL31" s="27" t="str">
        <f>IF(AJ31="","",VLOOKUP(AJ31,Parts_Data!$H$2:$I$102,2,FALSE))</f>
        <v/>
      </c>
      <c r="AM31" s="63"/>
      <c r="AN31" s="27" t="str">
        <f>IF(AM31="","",VLOOKUP(AM31,Parts_Data!$D$2:$E$102,2,FALSE))</f>
        <v/>
      </c>
      <c r="AO31" s="63"/>
      <c r="AP31" s="67"/>
      <c r="AQ31" s="27" t="str">
        <f>IF(AO31="","",VLOOKUP(AO31,Parts_Data!$H$2:$I$102,2,FALSE))</f>
        <v/>
      </c>
      <c r="AR31" s="63"/>
      <c r="AS31" s="27" t="str">
        <f>IF(AR31="","",VLOOKUP(AR31,Parts_Data!$D$2:$E$102,2,FALSE))</f>
        <v/>
      </c>
      <c r="AT31" s="63"/>
      <c r="AU31" s="67"/>
      <c r="AV31" s="27" t="str">
        <f>IF(AT31="","",VLOOKUP(AT31,Parts_Data!$H$2:$I$102,2,FALSE))</f>
        <v/>
      </c>
      <c r="AW31" s="63"/>
      <c r="AX31" s="27" t="str">
        <f>IF(AW31="","",VLOOKUP(AW31,Parts_Data!$D$2:$E$102,2,FALSE))</f>
        <v/>
      </c>
      <c r="AY31" s="63"/>
      <c r="AZ31" s="67"/>
      <c r="BA31" s="27" t="str">
        <f>IF(AY31="","",VLOOKUP(AY31,Parts_Data!$H$2:$I$102,2,FALSE))</f>
        <v/>
      </c>
      <c r="BB31" s="63"/>
      <c r="BC31" s="27" t="str">
        <f>IF(BB31="","",VLOOKUP(BB31,Parts_Data!$D$2:$E$102,2,FALSE))</f>
        <v/>
      </c>
      <c r="BD31" s="63"/>
      <c r="BE31" s="67"/>
      <c r="BF31" s="27" t="str">
        <f>IF(BD31="","",VLOOKUP(BD31,Parts_Data!$H$2:$I$102,2,FALSE))</f>
        <v/>
      </c>
      <c r="BG31" s="63"/>
      <c r="BH31" s="27" t="str">
        <f>IF(BG31="","",VLOOKUP(BG31,Parts_Data!$D$2:$E$102,2,FALSE))</f>
        <v/>
      </c>
      <c r="BI31" s="63"/>
      <c r="BJ31" s="67"/>
      <c r="BK31" s="27" t="str">
        <f>IF(BI31="","",VLOOKUP(BI31,Parts_Data!$H$2:$I$102,2,FALSE))</f>
        <v/>
      </c>
      <c r="BL31" s="63"/>
      <c r="BM31" s="27" t="str">
        <f>IF(BL31="","",VLOOKUP(BL31,Parts_Data!$D$2:$E$102,2,FALSE))</f>
        <v/>
      </c>
      <c r="BN31" s="63"/>
      <c r="BO31" s="67"/>
      <c r="BP31" s="27" t="str">
        <f>IF(BN31="","",VLOOKUP(BN31,Parts_Data!$H$2:$I$102,2,FALSE))</f>
        <v/>
      </c>
      <c r="BQ31" s="63"/>
      <c r="BR31" s="27" t="str">
        <f>IF(BQ31="","",VLOOKUP(BQ31,Parts_Data!$D$2:$E$102,2,FALSE))</f>
        <v/>
      </c>
      <c r="BS31" s="63"/>
      <c r="BT31" s="67"/>
      <c r="BU31" s="27" t="str">
        <f>IF(BS31="","",VLOOKUP(BS31,Parts_Data!$H$2:$I$102,2,FALSE))</f>
        <v/>
      </c>
      <c r="BV31" s="63"/>
      <c r="BW31" s="27" t="str">
        <f>IF(BV31="","",VLOOKUP(BV31,Parts_Data!$D$2:$E$102,2,FALSE))</f>
        <v/>
      </c>
      <c r="BX31" s="63"/>
      <c r="BY31" s="67"/>
      <c r="BZ31" s="27" t="str">
        <f>IF(BX31="","",VLOOKUP(BX31,Parts_Data!$H$2:$I$102,2,FALSE))</f>
        <v/>
      </c>
    </row>
    <row r="32" spans="1:78" ht="15.6" x14ac:dyDescent="0.3">
      <c r="A32">
        <f>VLOOKUP($E$9,Structure_Data!$E$3:$AJ$35,21,FALSE)</f>
        <v>0</v>
      </c>
      <c r="B32" s="30" t="str">
        <f>IF(A32="x",VLOOKUP($A$9,Structure_Data!$E$3:$AJ$35,21,FALSE),"")</f>
        <v/>
      </c>
      <c r="C32" s="19"/>
      <c r="D32" s="64"/>
      <c r="E32" s="26" t="str">
        <f>IF(D32="","",VLOOKUP(D32,Parts_Data!$D$2:$E$102,2,FALSE))</f>
        <v/>
      </c>
      <c r="F32" s="64"/>
      <c r="G32" s="68"/>
      <c r="H32" s="26" t="str">
        <f>IF(F32="","",VLOOKUP(F32,Parts_Data!$H$2:$I$102,2,FALSE))</f>
        <v/>
      </c>
      <c r="I32" s="64"/>
      <c r="J32" s="26" t="str">
        <f>IF(I32="","",VLOOKUP(I32,Parts_Data!$D$2:$E$102,2,FALSE))</f>
        <v/>
      </c>
      <c r="K32" s="64"/>
      <c r="L32" s="68"/>
      <c r="M32" s="26" t="str">
        <f>IF(K32="","",VLOOKUP(K32,Parts_Data!$H$2:$I$102,2,FALSE))</f>
        <v/>
      </c>
      <c r="N32" s="64"/>
      <c r="O32" s="26" t="str">
        <f>IF(N32="","",VLOOKUP(N32,Parts_Data!$D$2:$E$102,2,FALSE))</f>
        <v/>
      </c>
      <c r="P32" s="64"/>
      <c r="Q32" s="68"/>
      <c r="R32" s="26" t="str">
        <f>IF(P32="","",VLOOKUP(P32,Parts_Data!$H$2:$I$102,2,FALSE))</f>
        <v/>
      </c>
      <c r="S32" s="64"/>
      <c r="T32" s="26" t="str">
        <f>IF(S32="","",VLOOKUP(S32,Parts_Data!$D$2:$E$102,2,FALSE))</f>
        <v/>
      </c>
      <c r="U32" s="64"/>
      <c r="V32" s="68"/>
      <c r="W32" s="26" t="str">
        <f>IF(U32="","",VLOOKUP(U32,Parts_Data!$H$2:$I$102,2,FALSE))</f>
        <v/>
      </c>
      <c r="X32" s="64"/>
      <c r="Y32" s="26" t="str">
        <f>IF(X32="","",VLOOKUP(X32,Parts_Data!$D$2:$E$102,2,FALSE))</f>
        <v/>
      </c>
      <c r="Z32" s="64"/>
      <c r="AA32" s="68"/>
      <c r="AB32" s="26" t="str">
        <f>IF(Z32="","",VLOOKUP(Z32,Parts_Data!$H$2:$I$102,2,FALSE))</f>
        <v/>
      </c>
      <c r="AC32" s="64"/>
      <c r="AD32" s="26" t="str">
        <f>IF(AC32="","",VLOOKUP(AC32,Parts_Data!$D$2:$E$102,2,FALSE))</f>
        <v/>
      </c>
      <c r="AE32" s="64"/>
      <c r="AF32" s="68"/>
      <c r="AG32" s="26" t="str">
        <f>IF(AE32="","",VLOOKUP(AE32,Parts_Data!$H$2:$I$102,2,FALSE))</f>
        <v/>
      </c>
      <c r="AH32" s="64"/>
      <c r="AI32" s="26" t="str">
        <f>IF(AH32="","",VLOOKUP(AH32,Parts_Data!$D$2:$E$102,2,FALSE))</f>
        <v/>
      </c>
      <c r="AJ32" s="64"/>
      <c r="AK32" s="68"/>
      <c r="AL32" s="26" t="str">
        <f>IF(AJ32="","",VLOOKUP(AJ32,Parts_Data!$H$2:$I$102,2,FALSE))</f>
        <v/>
      </c>
      <c r="AM32" s="64"/>
      <c r="AN32" s="26" t="str">
        <f>IF(AM32="","",VLOOKUP(AM32,Parts_Data!$D$2:$E$102,2,FALSE))</f>
        <v/>
      </c>
      <c r="AO32" s="64"/>
      <c r="AP32" s="68"/>
      <c r="AQ32" s="26" t="str">
        <f>IF(AO32="","",VLOOKUP(AO32,Parts_Data!$H$2:$I$102,2,FALSE))</f>
        <v/>
      </c>
      <c r="AR32" s="64"/>
      <c r="AS32" s="26" t="str">
        <f>IF(AR32="","",VLOOKUP(AR32,Parts_Data!$D$2:$E$102,2,FALSE))</f>
        <v/>
      </c>
      <c r="AT32" s="64"/>
      <c r="AU32" s="68"/>
      <c r="AV32" s="26" t="str">
        <f>IF(AT32="","",VLOOKUP(AT32,Parts_Data!$H$2:$I$102,2,FALSE))</f>
        <v/>
      </c>
      <c r="AW32" s="64"/>
      <c r="AX32" s="26" t="str">
        <f>IF(AW32="","",VLOOKUP(AW32,Parts_Data!$D$2:$E$102,2,FALSE))</f>
        <v/>
      </c>
      <c r="AY32" s="64"/>
      <c r="AZ32" s="68"/>
      <c r="BA32" s="26" t="str">
        <f>IF(AY32="","",VLOOKUP(AY32,Parts_Data!$H$2:$I$102,2,FALSE))</f>
        <v/>
      </c>
      <c r="BB32" s="64"/>
      <c r="BC32" s="26" t="str">
        <f>IF(BB32="","",VLOOKUP(BB32,Parts_Data!$D$2:$E$102,2,FALSE))</f>
        <v/>
      </c>
      <c r="BD32" s="64"/>
      <c r="BE32" s="68"/>
      <c r="BF32" s="26" t="str">
        <f>IF(BD32="","",VLOOKUP(BD32,Parts_Data!$H$2:$I$102,2,FALSE))</f>
        <v/>
      </c>
      <c r="BG32" s="64"/>
      <c r="BH32" s="26" t="str">
        <f>IF(BG32="","",VLOOKUP(BG32,Parts_Data!$D$2:$E$102,2,FALSE))</f>
        <v/>
      </c>
      <c r="BI32" s="64"/>
      <c r="BJ32" s="68"/>
      <c r="BK32" s="26" t="str">
        <f>IF(BI32="","",VLOOKUP(BI32,Parts_Data!$H$2:$I$102,2,FALSE))</f>
        <v/>
      </c>
      <c r="BL32" s="64"/>
      <c r="BM32" s="26" t="str">
        <f>IF(BL32="","",VLOOKUP(BL32,Parts_Data!$D$2:$E$102,2,FALSE))</f>
        <v/>
      </c>
      <c r="BN32" s="64"/>
      <c r="BO32" s="68"/>
      <c r="BP32" s="26" t="str">
        <f>IF(BN32="","",VLOOKUP(BN32,Parts_Data!$H$2:$I$102,2,FALSE))</f>
        <v/>
      </c>
      <c r="BQ32" s="64"/>
      <c r="BR32" s="26" t="str">
        <f>IF(BQ32="","",VLOOKUP(BQ32,Parts_Data!$D$2:$E$102,2,FALSE))</f>
        <v/>
      </c>
      <c r="BS32" s="64"/>
      <c r="BT32" s="68"/>
      <c r="BU32" s="26" t="str">
        <f>IF(BS32="","",VLOOKUP(BS32,Parts_Data!$H$2:$I$102,2,FALSE))</f>
        <v/>
      </c>
      <c r="BV32" s="64"/>
      <c r="BW32" s="26" t="str">
        <f>IF(BV32="","",VLOOKUP(BV32,Parts_Data!$D$2:$E$102,2,FALSE))</f>
        <v/>
      </c>
      <c r="BX32" s="64"/>
      <c r="BY32" s="68"/>
      <c r="BZ32" s="26" t="str">
        <f>IF(BX32="","",VLOOKUP(BX32,Parts_Data!$H$2:$I$102,2,FALSE))</f>
        <v/>
      </c>
    </row>
    <row r="33" spans="1:78" ht="15.6" x14ac:dyDescent="0.3">
      <c r="A33">
        <f>VLOOKUP($E$9,Structure_Data!$E$3:$AJ$35,22,FALSE)</f>
        <v>0</v>
      </c>
      <c r="B33" s="30" t="str">
        <f>IF(A33="x",VLOOKUP($A$9,Structure_Data!$E$3:$AJ$35,22,FALSE),"")</f>
        <v/>
      </c>
      <c r="C33" s="18"/>
      <c r="D33" s="63"/>
      <c r="E33" s="27" t="str">
        <f>IF(D33="","",VLOOKUP(D33,Parts_Data!$D$2:$E$102,2,FALSE))</f>
        <v/>
      </c>
      <c r="F33" s="63"/>
      <c r="G33" s="67"/>
      <c r="H33" s="27" t="str">
        <f>IF(F33="","",VLOOKUP(F33,Parts_Data!$H$2:$I$102,2,FALSE))</f>
        <v/>
      </c>
      <c r="I33" s="63"/>
      <c r="J33" s="27" t="str">
        <f>IF(I33="","",VLOOKUP(I33,Parts_Data!$D$2:$E$102,2,FALSE))</f>
        <v/>
      </c>
      <c r="K33" s="63"/>
      <c r="L33" s="67"/>
      <c r="M33" s="27" t="str">
        <f>IF(K33="","",VLOOKUP(K33,Parts_Data!$H$2:$I$102,2,FALSE))</f>
        <v/>
      </c>
      <c r="N33" s="63"/>
      <c r="O33" s="27" t="str">
        <f>IF(N33="","",VLOOKUP(N33,Parts_Data!$D$2:$E$102,2,FALSE))</f>
        <v/>
      </c>
      <c r="P33" s="63"/>
      <c r="Q33" s="67"/>
      <c r="R33" s="27" t="str">
        <f>IF(P33="","",VLOOKUP(P33,Parts_Data!$H$2:$I$102,2,FALSE))</f>
        <v/>
      </c>
      <c r="S33" s="63"/>
      <c r="T33" s="27" t="str">
        <f>IF(S33="","",VLOOKUP(S33,Parts_Data!$D$2:$E$102,2,FALSE))</f>
        <v/>
      </c>
      <c r="U33" s="63"/>
      <c r="V33" s="67"/>
      <c r="W33" s="27" t="str">
        <f>IF(U33="","",VLOOKUP(U33,Parts_Data!$H$2:$I$102,2,FALSE))</f>
        <v/>
      </c>
      <c r="X33" s="63"/>
      <c r="Y33" s="27" t="str">
        <f>IF(X33="","",VLOOKUP(X33,Parts_Data!$D$2:$E$102,2,FALSE))</f>
        <v/>
      </c>
      <c r="Z33" s="63"/>
      <c r="AA33" s="67"/>
      <c r="AB33" s="27" t="str">
        <f>IF(Z33="","",VLOOKUP(Z33,Parts_Data!$H$2:$I$102,2,FALSE))</f>
        <v/>
      </c>
      <c r="AC33" s="63"/>
      <c r="AD33" s="27" t="str">
        <f>IF(AC33="","",VLOOKUP(AC33,Parts_Data!$D$2:$E$102,2,FALSE))</f>
        <v/>
      </c>
      <c r="AE33" s="63"/>
      <c r="AF33" s="67"/>
      <c r="AG33" s="27" t="str">
        <f>IF(AE33="","",VLOOKUP(AE33,Parts_Data!$H$2:$I$102,2,FALSE))</f>
        <v/>
      </c>
      <c r="AH33" s="63"/>
      <c r="AI33" s="27" t="str">
        <f>IF(AH33="","",VLOOKUP(AH33,Parts_Data!$D$2:$E$102,2,FALSE))</f>
        <v/>
      </c>
      <c r="AJ33" s="63"/>
      <c r="AK33" s="67"/>
      <c r="AL33" s="27" t="str">
        <f>IF(AJ33="","",VLOOKUP(AJ33,Parts_Data!$H$2:$I$102,2,FALSE))</f>
        <v/>
      </c>
      <c r="AM33" s="63"/>
      <c r="AN33" s="27" t="str">
        <f>IF(AM33="","",VLOOKUP(AM33,Parts_Data!$D$2:$E$102,2,FALSE))</f>
        <v/>
      </c>
      <c r="AO33" s="63"/>
      <c r="AP33" s="67"/>
      <c r="AQ33" s="27" t="str">
        <f>IF(AO33="","",VLOOKUP(AO33,Parts_Data!$H$2:$I$102,2,FALSE))</f>
        <v/>
      </c>
      <c r="AR33" s="63"/>
      <c r="AS33" s="27" t="str">
        <f>IF(AR33="","",VLOOKUP(AR33,Parts_Data!$D$2:$E$102,2,FALSE))</f>
        <v/>
      </c>
      <c r="AT33" s="63"/>
      <c r="AU33" s="67"/>
      <c r="AV33" s="27" t="str">
        <f>IF(AT33="","",VLOOKUP(AT33,Parts_Data!$H$2:$I$102,2,FALSE))</f>
        <v/>
      </c>
      <c r="AW33" s="63"/>
      <c r="AX33" s="27" t="str">
        <f>IF(AW33="","",VLOOKUP(AW33,Parts_Data!$D$2:$E$102,2,FALSE))</f>
        <v/>
      </c>
      <c r="AY33" s="63"/>
      <c r="AZ33" s="67"/>
      <c r="BA33" s="27" t="str">
        <f>IF(AY33="","",VLOOKUP(AY33,Parts_Data!$H$2:$I$102,2,FALSE))</f>
        <v/>
      </c>
      <c r="BB33" s="63"/>
      <c r="BC33" s="27" t="str">
        <f>IF(BB33="","",VLOOKUP(BB33,Parts_Data!$D$2:$E$102,2,FALSE))</f>
        <v/>
      </c>
      <c r="BD33" s="63"/>
      <c r="BE33" s="67"/>
      <c r="BF33" s="27" t="str">
        <f>IF(BD33="","",VLOOKUP(BD33,Parts_Data!$H$2:$I$102,2,FALSE))</f>
        <v/>
      </c>
      <c r="BG33" s="63"/>
      <c r="BH33" s="27" t="str">
        <f>IF(BG33="","",VLOOKUP(BG33,Parts_Data!$D$2:$E$102,2,FALSE))</f>
        <v/>
      </c>
      <c r="BI33" s="63"/>
      <c r="BJ33" s="67"/>
      <c r="BK33" s="27" t="str">
        <f>IF(BI33="","",VLOOKUP(BI33,Parts_Data!$H$2:$I$102,2,FALSE))</f>
        <v/>
      </c>
      <c r="BL33" s="63"/>
      <c r="BM33" s="27" t="str">
        <f>IF(BL33="","",VLOOKUP(BL33,Parts_Data!$D$2:$E$102,2,FALSE))</f>
        <v/>
      </c>
      <c r="BN33" s="63"/>
      <c r="BO33" s="67"/>
      <c r="BP33" s="27" t="str">
        <f>IF(BN33="","",VLOOKUP(BN33,Parts_Data!$H$2:$I$102,2,FALSE))</f>
        <v/>
      </c>
      <c r="BQ33" s="63"/>
      <c r="BR33" s="27" t="str">
        <f>IF(BQ33="","",VLOOKUP(BQ33,Parts_Data!$D$2:$E$102,2,FALSE))</f>
        <v/>
      </c>
      <c r="BS33" s="63"/>
      <c r="BT33" s="67"/>
      <c r="BU33" s="27" t="str">
        <f>IF(BS33="","",VLOOKUP(BS33,Parts_Data!$H$2:$I$102,2,FALSE))</f>
        <v/>
      </c>
      <c r="BV33" s="63"/>
      <c r="BW33" s="27" t="str">
        <f>IF(BV33="","",VLOOKUP(BV33,Parts_Data!$D$2:$E$102,2,FALSE))</f>
        <v/>
      </c>
      <c r="BX33" s="63"/>
      <c r="BY33" s="67"/>
      <c r="BZ33" s="27" t="str">
        <f>IF(BX33="","",VLOOKUP(BX33,Parts_Data!$H$2:$I$102,2,FALSE))</f>
        <v/>
      </c>
    </row>
    <row r="34" spans="1:78" ht="15.6" x14ac:dyDescent="0.3">
      <c r="A34">
        <f>VLOOKUP($E$9,Structure_Data!$E$3:$AJ$35,23,FALSE)</f>
        <v>0</v>
      </c>
      <c r="B34" s="30" t="str">
        <f>IF(A34="x",VLOOKUP($A$9,Structure_Data!$E$3:$AJ$35,23,FALSE),"")</f>
        <v/>
      </c>
      <c r="C34" s="19"/>
      <c r="D34" s="64"/>
      <c r="E34" s="26" t="str">
        <f>IF(D34="","",VLOOKUP(D34,Parts_Data!$D$2:$E$102,2,FALSE))</f>
        <v/>
      </c>
      <c r="F34" s="64"/>
      <c r="G34" s="68"/>
      <c r="H34" s="26" t="str">
        <f>IF(F34="","",VLOOKUP(F34,Parts_Data!$H$2:$I$102,2,FALSE))</f>
        <v/>
      </c>
      <c r="I34" s="64"/>
      <c r="J34" s="26" t="str">
        <f>IF(I34="","",VLOOKUP(I34,Parts_Data!$D$2:$E$102,2,FALSE))</f>
        <v/>
      </c>
      <c r="K34" s="64"/>
      <c r="L34" s="68"/>
      <c r="M34" s="26" t="str">
        <f>IF(K34="","",VLOOKUP(K34,Parts_Data!$H$2:$I$102,2,FALSE))</f>
        <v/>
      </c>
      <c r="N34" s="64"/>
      <c r="O34" s="26" t="str">
        <f>IF(N34="","",VLOOKUP(N34,Parts_Data!$D$2:$E$102,2,FALSE))</f>
        <v/>
      </c>
      <c r="P34" s="64"/>
      <c r="Q34" s="68"/>
      <c r="R34" s="26" t="str">
        <f>IF(P34="","",VLOOKUP(P34,Parts_Data!$H$2:$I$102,2,FALSE))</f>
        <v/>
      </c>
      <c r="S34" s="64"/>
      <c r="T34" s="26" t="str">
        <f>IF(S34="","",VLOOKUP(S34,Parts_Data!$D$2:$E$102,2,FALSE))</f>
        <v/>
      </c>
      <c r="U34" s="64"/>
      <c r="V34" s="68"/>
      <c r="W34" s="26" t="str">
        <f>IF(U34="","",VLOOKUP(U34,Parts_Data!$H$2:$I$102,2,FALSE))</f>
        <v/>
      </c>
      <c r="X34" s="64"/>
      <c r="Y34" s="26" t="str">
        <f>IF(X34="","",VLOOKUP(X34,Parts_Data!$D$2:$E$102,2,FALSE))</f>
        <v/>
      </c>
      <c r="Z34" s="64"/>
      <c r="AA34" s="68"/>
      <c r="AB34" s="26" t="str">
        <f>IF(Z34="","",VLOOKUP(Z34,Parts_Data!$H$2:$I$102,2,FALSE))</f>
        <v/>
      </c>
      <c r="AC34" s="64"/>
      <c r="AD34" s="26" t="str">
        <f>IF(AC34="","",VLOOKUP(AC34,Parts_Data!$D$2:$E$102,2,FALSE))</f>
        <v/>
      </c>
      <c r="AE34" s="64"/>
      <c r="AF34" s="68"/>
      <c r="AG34" s="26" t="str">
        <f>IF(AE34="","",VLOOKUP(AE34,Parts_Data!$H$2:$I$102,2,FALSE))</f>
        <v/>
      </c>
      <c r="AH34" s="64"/>
      <c r="AI34" s="26" t="str">
        <f>IF(AH34="","",VLOOKUP(AH34,Parts_Data!$D$2:$E$102,2,FALSE))</f>
        <v/>
      </c>
      <c r="AJ34" s="64"/>
      <c r="AK34" s="68"/>
      <c r="AL34" s="26" t="str">
        <f>IF(AJ34="","",VLOOKUP(AJ34,Parts_Data!$H$2:$I$102,2,FALSE))</f>
        <v/>
      </c>
      <c r="AM34" s="64"/>
      <c r="AN34" s="26" t="str">
        <f>IF(AM34="","",VLOOKUP(AM34,Parts_Data!$D$2:$E$102,2,FALSE))</f>
        <v/>
      </c>
      <c r="AO34" s="64"/>
      <c r="AP34" s="68"/>
      <c r="AQ34" s="26" t="str">
        <f>IF(AO34="","",VLOOKUP(AO34,Parts_Data!$H$2:$I$102,2,FALSE))</f>
        <v/>
      </c>
      <c r="AR34" s="64"/>
      <c r="AS34" s="26" t="str">
        <f>IF(AR34="","",VLOOKUP(AR34,Parts_Data!$D$2:$E$102,2,FALSE))</f>
        <v/>
      </c>
      <c r="AT34" s="64"/>
      <c r="AU34" s="68"/>
      <c r="AV34" s="26" t="str">
        <f>IF(AT34="","",VLOOKUP(AT34,Parts_Data!$H$2:$I$102,2,FALSE))</f>
        <v/>
      </c>
      <c r="AW34" s="64"/>
      <c r="AX34" s="26" t="str">
        <f>IF(AW34="","",VLOOKUP(AW34,Parts_Data!$D$2:$E$102,2,FALSE))</f>
        <v/>
      </c>
      <c r="AY34" s="64"/>
      <c r="AZ34" s="68"/>
      <c r="BA34" s="26" t="str">
        <f>IF(AY34="","",VLOOKUP(AY34,Parts_Data!$H$2:$I$102,2,FALSE))</f>
        <v/>
      </c>
      <c r="BB34" s="64"/>
      <c r="BC34" s="26" t="str">
        <f>IF(BB34="","",VLOOKUP(BB34,Parts_Data!$D$2:$E$102,2,FALSE))</f>
        <v/>
      </c>
      <c r="BD34" s="64"/>
      <c r="BE34" s="68"/>
      <c r="BF34" s="26" t="str">
        <f>IF(BD34="","",VLOOKUP(BD34,Parts_Data!$H$2:$I$102,2,FALSE))</f>
        <v/>
      </c>
      <c r="BG34" s="64"/>
      <c r="BH34" s="26" t="str">
        <f>IF(BG34="","",VLOOKUP(BG34,Parts_Data!$D$2:$E$102,2,FALSE))</f>
        <v/>
      </c>
      <c r="BI34" s="64"/>
      <c r="BJ34" s="68"/>
      <c r="BK34" s="26" t="str">
        <f>IF(BI34="","",VLOOKUP(BI34,Parts_Data!$H$2:$I$102,2,FALSE))</f>
        <v/>
      </c>
      <c r="BL34" s="64"/>
      <c r="BM34" s="26" t="str">
        <f>IF(BL34="","",VLOOKUP(BL34,Parts_Data!$D$2:$E$102,2,FALSE))</f>
        <v/>
      </c>
      <c r="BN34" s="64"/>
      <c r="BO34" s="68"/>
      <c r="BP34" s="26" t="str">
        <f>IF(BN34="","",VLOOKUP(BN34,Parts_Data!$H$2:$I$102,2,FALSE))</f>
        <v/>
      </c>
      <c r="BQ34" s="64"/>
      <c r="BR34" s="26" t="str">
        <f>IF(BQ34="","",VLOOKUP(BQ34,Parts_Data!$D$2:$E$102,2,FALSE))</f>
        <v/>
      </c>
      <c r="BS34" s="64"/>
      <c r="BT34" s="68"/>
      <c r="BU34" s="26" t="str">
        <f>IF(BS34="","",VLOOKUP(BS34,Parts_Data!$H$2:$I$102,2,FALSE))</f>
        <v/>
      </c>
      <c r="BV34" s="64"/>
      <c r="BW34" s="26" t="str">
        <f>IF(BV34="","",VLOOKUP(BV34,Parts_Data!$D$2:$E$102,2,FALSE))</f>
        <v/>
      </c>
      <c r="BX34" s="64"/>
      <c r="BY34" s="68"/>
      <c r="BZ34" s="26" t="str">
        <f>IF(BX34="","",VLOOKUP(BX34,Parts_Data!$H$2:$I$102,2,FALSE))</f>
        <v/>
      </c>
    </row>
    <row r="35" spans="1:78" ht="15.6" x14ac:dyDescent="0.3">
      <c r="A35">
        <f>VLOOKUP($E$9,Structure_Data!$E$3:$AJ$35,24,FALSE)</f>
        <v>0</v>
      </c>
      <c r="B35" s="30" t="str">
        <f>IF(A35="x",VLOOKUP($A$9,Structure_Data!$E$3:$AJ$35,24,FALSE),"")</f>
        <v/>
      </c>
      <c r="C35" s="18"/>
      <c r="D35" s="63"/>
      <c r="E35" s="27" t="str">
        <f>IF(D35="","",VLOOKUP(D35,Parts_Data!$D$2:$E$102,2,FALSE))</f>
        <v/>
      </c>
      <c r="F35" s="63"/>
      <c r="G35" s="67"/>
      <c r="H35" s="27" t="str">
        <f>IF(F35="","",VLOOKUP(F35,Parts_Data!$H$2:$I$102,2,FALSE))</f>
        <v/>
      </c>
      <c r="I35" s="63"/>
      <c r="J35" s="27" t="str">
        <f>IF(I35="","",VLOOKUP(I35,Parts_Data!$D$2:$E$102,2,FALSE))</f>
        <v/>
      </c>
      <c r="K35" s="63"/>
      <c r="L35" s="67"/>
      <c r="M35" s="27" t="str">
        <f>IF(K35="","",VLOOKUP(K35,Parts_Data!$H$2:$I$102,2,FALSE))</f>
        <v/>
      </c>
      <c r="N35" s="63"/>
      <c r="O35" s="27" t="str">
        <f>IF(N35="","",VLOOKUP(N35,Parts_Data!$D$2:$E$102,2,FALSE))</f>
        <v/>
      </c>
      <c r="P35" s="63"/>
      <c r="Q35" s="67"/>
      <c r="R35" s="27" t="str">
        <f>IF(P35="","",VLOOKUP(P35,Parts_Data!$H$2:$I$102,2,FALSE))</f>
        <v/>
      </c>
      <c r="S35" s="63"/>
      <c r="T35" s="27" t="str">
        <f>IF(S35="","",VLOOKUP(S35,Parts_Data!$D$2:$E$102,2,FALSE))</f>
        <v/>
      </c>
      <c r="U35" s="63"/>
      <c r="V35" s="67"/>
      <c r="W35" s="27" t="str">
        <f>IF(U35="","",VLOOKUP(U35,Parts_Data!$H$2:$I$102,2,FALSE))</f>
        <v/>
      </c>
      <c r="X35" s="63"/>
      <c r="Y35" s="27" t="str">
        <f>IF(X35="","",VLOOKUP(X35,Parts_Data!$D$2:$E$102,2,FALSE))</f>
        <v/>
      </c>
      <c r="Z35" s="63"/>
      <c r="AA35" s="67"/>
      <c r="AB35" s="27" t="str">
        <f>IF(Z35="","",VLOOKUP(Z35,Parts_Data!$H$2:$I$102,2,FALSE))</f>
        <v/>
      </c>
      <c r="AC35" s="63"/>
      <c r="AD35" s="27" t="str">
        <f>IF(AC35="","",VLOOKUP(AC35,Parts_Data!$D$2:$E$102,2,FALSE))</f>
        <v/>
      </c>
      <c r="AE35" s="63"/>
      <c r="AF35" s="67"/>
      <c r="AG35" s="27" t="str">
        <f>IF(AE35="","",VLOOKUP(AE35,Parts_Data!$H$2:$I$102,2,FALSE))</f>
        <v/>
      </c>
      <c r="AH35" s="63"/>
      <c r="AI35" s="27" t="str">
        <f>IF(AH35="","",VLOOKUP(AH35,Parts_Data!$D$2:$E$102,2,FALSE))</f>
        <v/>
      </c>
      <c r="AJ35" s="63"/>
      <c r="AK35" s="67"/>
      <c r="AL35" s="27" t="str">
        <f>IF(AJ35="","",VLOOKUP(AJ35,Parts_Data!$H$2:$I$102,2,FALSE))</f>
        <v/>
      </c>
      <c r="AM35" s="63"/>
      <c r="AN35" s="27" t="str">
        <f>IF(AM35="","",VLOOKUP(AM35,Parts_Data!$D$2:$E$102,2,FALSE))</f>
        <v/>
      </c>
      <c r="AO35" s="63"/>
      <c r="AP35" s="67"/>
      <c r="AQ35" s="27" t="str">
        <f>IF(AO35="","",VLOOKUP(AO35,Parts_Data!$H$2:$I$102,2,FALSE))</f>
        <v/>
      </c>
      <c r="AR35" s="63"/>
      <c r="AS35" s="27" t="str">
        <f>IF(AR35="","",VLOOKUP(AR35,Parts_Data!$D$2:$E$102,2,FALSE))</f>
        <v/>
      </c>
      <c r="AT35" s="63"/>
      <c r="AU35" s="67"/>
      <c r="AV35" s="27" t="str">
        <f>IF(AT35="","",VLOOKUP(AT35,Parts_Data!$H$2:$I$102,2,FALSE))</f>
        <v/>
      </c>
      <c r="AW35" s="63"/>
      <c r="AX35" s="27" t="str">
        <f>IF(AW35="","",VLOOKUP(AW35,Parts_Data!$D$2:$E$102,2,FALSE))</f>
        <v/>
      </c>
      <c r="AY35" s="63"/>
      <c r="AZ35" s="67"/>
      <c r="BA35" s="27" t="str">
        <f>IF(AY35="","",VLOOKUP(AY35,Parts_Data!$H$2:$I$102,2,FALSE))</f>
        <v/>
      </c>
      <c r="BB35" s="63"/>
      <c r="BC35" s="27" t="str">
        <f>IF(BB35="","",VLOOKUP(BB35,Parts_Data!$D$2:$E$102,2,FALSE))</f>
        <v/>
      </c>
      <c r="BD35" s="63"/>
      <c r="BE35" s="67"/>
      <c r="BF35" s="27" t="str">
        <f>IF(BD35="","",VLOOKUP(BD35,Parts_Data!$H$2:$I$102,2,FALSE))</f>
        <v/>
      </c>
      <c r="BG35" s="63"/>
      <c r="BH35" s="27" t="str">
        <f>IF(BG35="","",VLOOKUP(BG35,Parts_Data!$D$2:$E$102,2,FALSE))</f>
        <v/>
      </c>
      <c r="BI35" s="63"/>
      <c r="BJ35" s="67"/>
      <c r="BK35" s="27" t="str">
        <f>IF(BI35="","",VLOOKUP(BI35,Parts_Data!$H$2:$I$102,2,FALSE))</f>
        <v/>
      </c>
      <c r="BL35" s="63"/>
      <c r="BM35" s="27" t="str">
        <f>IF(BL35="","",VLOOKUP(BL35,Parts_Data!$D$2:$E$102,2,FALSE))</f>
        <v/>
      </c>
      <c r="BN35" s="63"/>
      <c r="BO35" s="67"/>
      <c r="BP35" s="27" t="str">
        <f>IF(BN35="","",VLOOKUP(BN35,Parts_Data!$H$2:$I$102,2,FALSE))</f>
        <v/>
      </c>
      <c r="BQ35" s="63"/>
      <c r="BR35" s="27" t="str">
        <f>IF(BQ35="","",VLOOKUP(BQ35,Parts_Data!$D$2:$E$102,2,FALSE))</f>
        <v/>
      </c>
      <c r="BS35" s="63"/>
      <c r="BT35" s="67"/>
      <c r="BU35" s="27" t="str">
        <f>IF(BS35="","",VLOOKUP(BS35,Parts_Data!$H$2:$I$102,2,FALSE))</f>
        <v/>
      </c>
      <c r="BV35" s="63"/>
      <c r="BW35" s="27" t="str">
        <f>IF(BV35="","",VLOOKUP(BV35,Parts_Data!$D$2:$E$102,2,FALSE))</f>
        <v/>
      </c>
      <c r="BX35" s="63"/>
      <c r="BY35" s="67"/>
      <c r="BZ35" s="27" t="str">
        <f>IF(BX35="","",VLOOKUP(BX35,Parts_Data!$H$2:$I$102,2,FALSE))</f>
        <v/>
      </c>
    </row>
    <row r="36" spans="1:78" ht="15.6" x14ac:dyDescent="0.3">
      <c r="A36">
        <f>VLOOKUP($E$9,Structure_Data!$E$3:$AJ$35,25,FALSE)</f>
        <v>0</v>
      </c>
      <c r="B36" s="30" t="str">
        <f>IF(A36="x",VLOOKUP($A$9,Structure_Data!$E$3:$AJ$35,25,FALSE),"")</f>
        <v/>
      </c>
      <c r="C36" s="19"/>
      <c r="D36" s="64"/>
      <c r="E36" s="26" t="str">
        <f>IF(D36="","",VLOOKUP(D36,Parts_Data!$D$2:$E$102,2,FALSE))</f>
        <v/>
      </c>
      <c r="F36" s="64"/>
      <c r="G36" s="68"/>
      <c r="H36" s="26" t="str">
        <f>IF(F36="","",VLOOKUP(F36,Parts_Data!$H$2:$I$102,2,FALSE))</f>
        <v/>
      </c>
      <c r="I36" s="64"/>
      <c r="J36" s="26" t="str">
        <f>IF(I36="","",VLOOKUP(I36,Parts_Data!$D$2:$E$102,2,FALSE))</f>
        <v/>
      </c>
      <c r="K36" s="64"/>
      <c r="L36" s="68"/>
      <c r="M36" s="26" t="str">
        <f>IF(K36="","",VLOOKUP(K36,Parts_Data!$H$2:$I$102,2,FALSE))</f>
        <v/>
      </c>
      <c r="N36" s="64"/>
      <c r="O36" s="26" t="str">
        <f>IF(N36="","",VLOOKUP(N36,Parts_Data!$D$2:$E$102,2,FALSE))</f>
        <v/>
      </c>
      <c r="P36" s="64"/>
      <c r="Q36" s="68"/>
      <c r="R36" s="26" t="str">
        <f>IF(P36="","",VLOOKUP(P36,Parts_Data!$H$2:$I$102,2,FALSE))</f>
        <v/>
      </c>
      <c r="S36" s="64"/>
      <c r="T36" s="26" t="str">
        <f>IF(S36="","",VLOOKUP(S36,Parts_Data!$D$2:$E$102,2,FALSE))</f>
        <v/>
      </c>
      <c r="U36" s="64"/>
      <c r="V36" s="68"/>
      <c r="W36" s="26" t="str">
        <f>IF(U36="","",VLOOKUP(U36,Parts_Data!$H$2:$I$102,2,FALSE))</f>
        <v/>
      </c>
      <c r="X36" s="64"/>
      <c r="Y36" s="26" t="str">
        <f>IF(X36="","",VLOOKUP(X36,Parts_Data!$D$2:$E$102,2,FALSE))</f>
        <v/>
      </c>
      <c r="Z36" s="64"/>
      <c r="AA36" s="68"/>
      <c r="AB36" s="26" t="str">
        <f>IF(Z36="","",VLOOKUP(Z36,Parts_Data!$H$2:$I$102,2,FALSE))</f>
        <v/>
      </c>
      <c r="AC36" s="64"/>
      <c r="AD36" s="26" t="str">
        <f>IF(AC36="","",VLOOKUP(AC36,Parts_Data!$D$2:$E$102,2,FALSE))</f>
        <v/>
      </c>
      <c r="AE36" s="64"/>
      <c r="AF36" s="68"/>
      <c r="AG36" s="26" t="str">
        <f>IF(AE36="","",VLOOKUP(AE36,Parts_Data!$H$2:$I$102,2,FALSE))</f>
        <v/>
      </c>
      <c r="AH36" s="64"/>
      <c r="AI36" s="26" t="str">
        <f>IF(AH36="","",VLOOKUP(AH36,Parts_Data!$D$2:$E$102,2,FALSE))</f>
        <v/>
      </c>
      <c r="AJ36" s="64"/>
      <c r="AK36" s="68"/>
      <c r="AL36" s="26" t="str">
        <f>IF(AJ36="","",VLOOKUP(AJ36,Parts_Data!$H$2:$I$102,2,FALSE))</f>
        <v/>
      </c>
      <c r="AM36" s="64"/>
      <c r="AN36" s="26" t="str">
        <f>IF(AM36="","",VLOOKUP(AM36,Parts_Data!$D$2:$E$102,2,FALSE))</f>
        <v/>
      </c>
      <c r="AO36" s="64"/>
      <c r="AP36" s="68"/>
      <c r="AQ36" s="26" t="str">
        <f>IF(AO36="","",VLOOKUP(AO36,Parts_Data!$H$2:$I$102,2,FALSE))</f>
        <v/>
      </c>
      <c r="AR36" s="64"/>
      <c r="AS36" s="26" t="str">
        <f>IF(AR36="","",VLOOKUP(AR36,Parts_Data!$D$2:$E$102,2,FALSE))</f>
        <v/>
      </c>
      <c r="AT36" s="64"/>
      <c r="AU36" s="68"/>
      <c r="AV36" s="26" t="str">
        <f>IF(AT36="","",VLOOKUP(AT36,Parts_Data!$H$2:$I$102,2,FALSE))</f>
        <v/>
      </c>
      <c r="AW36" s="64"/>
      <c r="AX36" s="26" t="str">
        <f>IF(AW36="","",VLOOKUP(AW36,Parts_Data!$D$2:$E$102,2,FALSE))</f>
        <v/>
      </c>
      <c r="AY36" s="64"/>
      <c r="AZ36" s="68"/>
      <c r="BA36" s="26" t="str">
        <f>IF(AY36="","",VLOOKUP(AY36,Parts_Data!$H$2:$I$102,2,FALSE))</f>
        <v/>
      </c>
      <c r="BB36" s="64"/>
      <c r="BC36" s="26" t="str">
        <f>IF(BB36="","",VLOOKUP(BB36,Parts_Data!$D$2:$E$102,2,FALSE))</f>
        <v/>
      </c>
      <c r="BD36" s="64"/>
      <c r="BE36" s="68"/>
      <c r="BF36" s="26" t="str">
        <f>IF(BD36="","",VLOOKUP(BD36,Parts_Data!$H$2:$I$102,2,FALSE))</f>
        <v/>
      </c>
      <c r="BG36" s="64"/>
      <c r="BH36" s="26" t="str">
        <f>IF(BG36="","",VLOOKUP(BG36,Parts_Data!$D$2:$E$102,2,FALSE))</f>
        <v/>
      </c>
      <c r="BI36" s="64"/>
      <c r="BJ36" s="68"/>
      <c r="BK36" s="26" t="str">
        <f>IF(BI36="","",VLOOKUP(BI36,Parts_Data!$H$2:$I$102,2,FALSE))</f>
        <v/>
      </c>
      <c r="BL36" s="64"/>
      <c r="BM36" s="26" t="str">
        <f>IF(BL36="","",VLOOKUP(BL36,Parts_Data!$D$2:$E$102,2,FALSE))</f>
        <v/>
      </c>
      <c r="BN36" s="64"/>
      <c r="BO36" s="68"/>
      <c r="BP36" s="26" t="str">
        <f>IF(BN36="","",VLOOKUP(BN36,Parts_Data!$H$2:$I$102,2,FALSE))</f>
        <v/>
      </c>
      <c r="BQ36" s="64"/>
      <c r="BR36" s="26" t="str">
        <f>IF(BQ36="","",VLOOKUP(BQ36,Parts_Data!$D$2:$E$102,2,FALSE))</f>
        <v/>
      </c>
      <c r="BS36" s="64"/>
      <c r="BT36" s="68"/>
      <c r="BU36" s="26" t="str">
        <f>IF(BS36="","",VLOOKUP(BS36,Parts_Data!$H$2:$I$102,2,FALSE))</f>
        <v/>
      </c>
      <c r="BV36" s="64"/>
      <c r="BW36" s="26" t="str">
        <f>IF(BV36="","",VLOOKUP(BV36,Parts_Data!$D$2:$E$102,2,FALSE))</f>
        <v/>
      </c>
      <c r="BX36" s="64"/>
      <c r="BY36" s="68"/>
      <c r="BZ36" s="26" t="str">
        <f>IF(BX36="","",VLOOKUP(BX36,Parts_Data!$H$2:$I$102,2,FALSE))</f>
        <v/>
      </c>
    </row>
    <row r="37" spans="1:78" ht="15.6" x14ac:dyDescent="0.3">
      <c r="A37">
        <f>VLOOKUP($E$9,Structure_Data!$E$3:$AJ$35,26,FALSE)</f>
        <v>0</v>
      </c>
      <c r="B37" s="30" t="str">
        <f>IF(A37="x",VLOOKUP($A$9,Structure_Data!$E$3:$AJ$35,26,FALSE),"")</f>
        <v/>
      </c>
      <c r="C37" s="18"/>
      <c r="D37" s="63"/>
      <c r="E37" s="27" t="str">
        <f>IF(D37="","",VLOOKUP(D37,Parts_Data!$D$2:$E$102,2,FALSE))</f>
        <v/>
      </c>
      <c r="F37" s="63"/>
      <c r="G37" s="67"/>
      <c r="H37" s="27" t="str">
        <f>IF(F37="","",VLOOKUP(F37,Parts_Data!$H$2:$I$102,2,FALSE))</f>
        <v/>
      </c>
      <c r="I37" s="63"/>
      <c r="J37" s="27" t="str">
        <f>IF(I37="","",VLOOKUP(I37,Parts_Data!$D$2:$E$102,2,FALSE))</f>
        <v/>
      </c>
      <c r="K37" s="63"/>
      <c r="L37" s="67"/>
      <c r="M37" s="27" t="str">
        <f>IF(K37="","",VLOOKUP(K37,Parts_Data!$H$2:$I$102,2,FALSE))</f>
        <v/>
      </c>
      <c r="N37" s="63"/>
      <c r="O37" s="27" t="str">
        <f>IF(N37="","",VLOOKUP(N37,Parts_Data!$D$2:$E$102,2,FALSE))</f>
        <v/>
      </c>
      <c r="P37" s="63"/>
      <c r="Q37" s="67"/>
      <c r="R37" s="27" t="str">
        <f>IF(P37="","",VLOOKUP(P37,Parts_Data!$H$2:$I$102,2,FALSE))</f>
        <v/>
      </c>
      <c r="S37" s="63"/>
      <c r="T37" s="27" t="str">
        <f>IF(S37="","",VLOOKUP(S37,Parts_Data!$D$2:$E$102,2,FALSE))</f>
        <v/>
      </c>
      <c r="U37" s="63"/>
      <c r="V37" s="67"/>
      <c r="W37" s="27" t="str">
        <f>IF(U37="","",VLOOKUP(U37,Parts_Data!$H$2:$I$102,2,FALSE))</f>
        <v/>
      </c>
      <c r="X37" s="63"/>
      <c r="Y37" s="27" t="str">
        <f>IF(X37="","",VLOOKUP(X37,Parts_Data!$D$2:$E$102,2,FALSE))</f>
        <v/>
      </c>
      <c r="Z37" s="63"/>
      <c r="AA37" s="67"/>
      <c r="AB37" s="27" t="str">
        <f>IF(Z37="","",VLOOKUP(Z37,Parts_Data!$H$2:$I$102,2,FALSE))</f>
        <v/>
      </c>
      <c r="AC37" s="63"/>
      <c r="AD37" s="27" t="str">
        <f>IF(AC37="","",VLOOKUP(AC37,Parts_Data!$D$2:$E$102,2,FALSE))</f>
        <v/>
      </c>
      <c r="AE37" s="63"/>
      <c r="AF37" s="67"/>
      <c r="AG37" s="27" t="str">
        <f>IF(AE37="","",VLOOKUP(AE37,Parts_Data!$H$2:$I$102,2,FALSE))</f>
        <v/>
      </c>
      <c r="AH37" s="63"/>
      <c r="AI37" s="27" t="str">
        <f>IF(AH37="","",VLOOKUP(AH37,Parts_Data!$D$2:$E$102,2,FALSE))</f>
        <v/>
      </c>
      <c r="AJ37" s="63"/>
      <c r="AK37" s="67"/>
      <c r="AL37" s="27" t="str">
        <f>IF(AJ37="","",VLOOKUP(AJ37,Parts_Data!$H$2:$I$102,2,FALSE))</f>
        <v/>
      </c>
      <c r="AM37" s="63"/>
      <c r="AN37" s="27" t="str">
        <f>IF(AM37="","",VLOOKUP(AM37,Parts_Data!$D$2:$E$102,2,FALSE))</f>
        <v/>
      </c>
      <c r="AO37" s="63"/>
      <c r="AP37" s="67"/>
      <c r="AQ37" s="27" t="str">
        <f>IF(AO37="","",VLOOKUP(AO37,Parts_Data!$H$2:$I$102,2,FALSE))</f>
        <v/>
      </c>
      <c r="AR37" s="63"/>
      <c r="AS37" s="27" t="str">
        <f>IF(AR37="","",VLOOKUP(AR37,Parts_Data!$D$2:$E$102,2,FALSE))</f>
        <v/>
      </c>
      <c r="AT37" s="63"/>
      <c r="AU37" s="67"/>
      <c r="AV37" s="27" t="str">
        <f>IF(AT37="","",VLOOKUP(AT37,Parts_Data!$H$2:$I$102,2,FALSE))</f>
        <v/>
      </c>
      <c r="AW37" s="63"/>
      <c r="AX37" s="27" t="str">
        <f>IF(AW37="","",VLOOKUP(AW37,Parts_Data!$D$2:$E$102,2,FALSE))</f>
        <v/>
      </c>
      <c r="AY37" s="63"/>
      <c r="AZ37" s="67"/>
      <c r="BA37" s="27" t="str">
        <f>IF(AY37="","",VLOOKUP(AY37,Parts_Data!$H$2:$I$102,2,FALSE))</f>
        <v/>
      </c>
      <c r="BB37" s="63"/>
      <c r="BC37" s="27" t="str">
        <f>IF(BB37="","",VLOOKUP(BB37,Parts_Data!$D$2:$E$102,2,FALSE))</f>
        <v/>
      </c>
      <c r="BD37" s="63"/>
      <c r="BE37" s="67"/>
      <c r="BF37" s="27" t="str">
        <f>IF(BD37="","",VLOOKUP(BD37,Parts_Data!$H$2:$I$102,2,FALSE))</f>
        <v/>
      </c>
      <c r="BG37" s="63"/>
      <c r="BH37" s="27" t="str">
        <f>IF(BG37="","",VLOOKUP(BG37,Parts_Data!$D$2:$E$102,2,FALSE))</f>
        <v/>
      </c>
      <c r="BI37" s="63"/>
      <c r="BJ37" s="67"/>
      <c r="BK37" s="27" t="str">
        <f>IF(BI37="","",VLOOKUP(BI37,Parts_Data!$H$2:$I$102,2,FALSE))</f>
        <v/>
      </c>
      <c r="BL37" s="63"/>
      <c r="BM37" s="27" t="str">
        <f>IF(BL37="","",VLOOKUP(BL37,Parts_Data!$D$2:$E$102,2,FALSE))</f>
        <v/>
      </c>
      <c r="BN37" s="63"/>
      <c r="BO37" s="67"/>
      <c r="BP37" s="27" t="str">
        <f>IF(BN37="","",VLOOKUP(BN37,Parts_Data!$H$2:$I$102,2,FALSE))</f>
        <v/>
      </c>
      <c r="BQ37" s="63"/>
      <c r="BR37" s="27" t="str">
        <f>IF(BQ37="","",VLOOKUP(BQ37,Parts_Data!$D$2:$E$102,2,FALSE))</f>
        <v/>
      </c>
      <c r="BS37" s="63"/>
      <c r="BT37" s="67"/>
      <c r="BU37" s="27" t="str">
        <f>IF(BS37="","",VLOOKUP(BS37,Parts_Data!$H$2:$I$102,2,FALSE))</f>
        <v/>
      </c>
      <c r="BV37" s="63"/>
      <c r="BW37" s="27" t="str">
        <f>IF(BV37="","",VLOOKUP(BV37,Parts_Data!$D$2:$E$102,2,FALSE))</f>
        <v/>
      </c>
      <c r="BX37" s="63"/>
      <c r="BY37" s="67"/>
      <c r="BZ37" s="27" t="str">
        <f>IF(BX37="","",VLOOKUP(BX37,Parts_Data!$H$2:$I$102,2,FALSE))</f>
        <v/>
      </c>
    </row>
    <row r="38" spans="1:78" ht="15.6" x14ac:dyDescent="0.3">
      <c r="A38" t="str">
        <f>VLOOKUP($E$9,Structure_Data!$E$3:$AJ$35,27,FALSE)</f>
        <v>x</v>
      </c>
      <c r="B38" s="30" t="str">
        <f>IF(A38="x",VLOOKUP($A$9,Structure_Data!$E$3:$AJ$35,27,FALSE),"")</f>
        <v>E352</v>
      </c>
      <c r="C38" s="19" t="s">
        <v>90</v>
      </c>
      <c r="D38" s="64"/>
      <c r="E38" s="26" t="str">
        <f>IF(D38="","",VLOOKUP(D38,Parts_Data!$D$2:$E$102,2,FALSE))</f>
        <v/>
      </c>
      <c r="F38" s="64" t="s">
        <v>375</v>
      </c>
      <c r="G38" s="68" t="s">
        <v>662</v>
      </c>
      <c r="H38" s="26" t="str">
        <f>IF(F38="","",VLOOKUP(F38,Parts_Data!$H$2:$I$102,2,FALSE))</f>
        <v>AKE 169 462</v>
      </c>
      <c r="I38" s="64"/>
      <c r="J38" s="26" t="str">
        <f>IF(I38="","",VLOOKUP(I38,Parts_Data!$D$2:$E$102,2,FALSE))</f>
        <v/>
      </c>
      <c r="K38" s="64"/>
      <c r="L38" s="68"/>
      <c r="M38" s="26" t="str">
        <f>IF(K38="","",VLOOKUP(K38,Parts_Data!$H$2:$I$102,2,FALSE))</f>
        <v/>
      </c>
      <c r="N38" s="64"/>
      <c r="O38" s="26" t="str">
        <f>IF(N38="","",VLOOKUP(N38,Parts_Data!$D$2:$E$102,2,FALSE))</f>
        <v/>
      </c>
      <c r="P38" s="64"/>
      <c r="Q38" s="68"/>
      <c r="R38" s="26" t="str">
        <f>IF(P38="","",VLOOKUP(P38,Parts_Data!$H$2:$I$102,2,FALSE))</f>
        <v/>
      </c>
      <c r="S38" s="64"/>
      <c r="T38" s="26" t="str">
        <f>IF(S38="","",VLOOKUP(S38,Parts_Data!$D$2:$E$102,2,FALSE))</f>
        <v/>
      </c>
      <c r="U38" s="64"/>
      <c r="V38" s="68"/>
      <c r="W38" s="26" t="str">
        <f>IF(U38="","",VLOOKUP(U38,Parts_Data!$H$2:$I$102,2,FALSE))</f>
        <v/>
      </c>
      <c r="X38" s="64"/>
      <c r="Y38" s="26" t="str">
        <f>IF(X38="","",VLOOKUP(X38,Parts_Data!$D$2:$E$102,2,FALSE))</f>
        <v/>
      </c>
      <c r="Z38" s="64"/>
      <c r="AA38" s="68"/>
      <c r="AB38" s="26" t="str">
        <f>IF(Z38="","",VLOOKUP(Z38,Parts_Data!$H$2:$I$102,2,FALSE))</f>
        <v/>
      </c>
      <c r="AC38" s="64"/>
      <c r="AD38" s="26" t="str">
        <f>IF(AC38="","",VLOOKUP(AC38,Parts_Data!$D$2:$E$102,2,FALSE))</f>
        <v/>
      </c>
      <c r="AE38" s="64"/>
      <c r="AF38" s="68"/>
      <c r="AG38" s="26" t="str">
        <f>IF(AE38="","",VLOOKUP(AE38,Parts_Data!$H$2:$I$102,2,FALSE))</f>
        <v/>
      </c>
      <c r="AH38" s="64"/>
      <c r="AI38" s="26" t="str">
        <f>IF(AH38="","",VLOOKUP(AH38,Parts_Data!$D$2:$E$102,2,FALSE))</f>
        <v/>
      </c>
      <c r="AJ38" s="64"/>
      <c r="AK38" s="68"/>
      <c r="AL38" s="26" t="str">
        <f>IF(AJ38="","",VLOOKUP(AJ38,Parts_Data!$H$2:$I$102,2,FALSE))</f>
        <v/>
      </c>
      <c r="AM38" s="64"/>
      <c r="AN38" s="26" t="str">
        <f>IF(AM38="","",VLOOKUP(AM38,Parts_Data!$D$2:$E$102,2,FALSE))</f>
        <v/>
      </c>
      <c r="AO38" s="64"/>
      <c r="AP38" s="68"/>
      <c r="AQ38" s="26" t="str">
        <f>IF(AO38="","",VLOOKUP(AO38,Parts_Data!$H$2:$I$102,2,FALSE))</f>
        <v/>
      </c>
      <c r="AR38" s="64"/>
      <c r="AS38" s="26" t="str">
        <f>IF(AR38="","",VLOOKUP(AR38,Parts_Data!$D$2:$E$102,2,FALSE))</f>
        <v/>
      </c>
      <c r="AT38" s="64"/>
      <c r="AU38" s="68"/>
      <c r="AV38" s="26" t="str">
        <f>IF(AT38="","",VLOOKUP(AT38,Parts_Data!$H$2:$I$102,2,FALSE))</f>
        <v/>
      </c>
      <c r="AW38" s="64"/>
      <c r="AX38" s="26" t="str">
        <f>IF(AW38="","",VLOOKUP(AW38,Parts_Data!$D$2:$E$102,2,FALSE))</f>
        <v/>
      </c>
      <c r="AY38" s="64"/>
      <c r="AZ38" s="68"/>
      <c r="BA38" s="26" t="str">
        <f>IF(AY38="","",VLOOKUP(AY38,Parts_Data!$H$2:$I$102,2,FALSE))</f>
        <v/>
      </c>
      <c r="BB38" s="64"/>
      <c r="BC38" s="26" t="str">
        <f>IF(BB38="","",VLOOKUP(BB38,Parts_Data!$D$2:$E$102,2,FALSE))</f>
        <v/>
      </c>
      <c r="BD38" s="64"/>
      <c r="BE38" s="68"/>
      <c r="BF38" s="26" t="str">
        <f>IF(BD38="","",VLOOKUP(BD38,Parts_Data!$H$2:$I$102,2,FALSE))</f>
        <v/>
      </c>
      <c r="BG38" s="64"/>
      <c r="BH38" s="26" t="str">
        <f>IF(BG38="","",VLOOKUP(BG38,Parts_Data!$D$2:$E$102,2,FALSE))</f>
        <v/>
      </c>
      <c r="BI38" s="64"/>
      <c r="BJ38" s="68"/>
      <c r="BK38" s="26" t="str">
        <f>IF(BI38="","",VLOOKUP(BI38,Parts_Data!$H$2:$I$102,2,FALSE))</f>
        <v/>
      </c>
      <c r="BL38" s="64"/>
      <c r="BM38" s="26" t="str">
        <f>IF(BL38="","",VLOOKUP(BL38,Parts_Data!$D$2:$E$102,2,FALSE))</f>
        <v/>
      </c>
      <c r="BN38" s="64"/>
      <c r="BO38" s="68"/>
      <c r="BP38" s="26" t="str">
        <f>IF(BN38="","",VLOOKUP(BN38,Parts_Data!$H$2:$I$102,2,FALSE))</f>
        <v/>
      </c>
      <c r="BQ38" s="64"/>
      <c r="BR38" s="26" t="str">
        <f>IF(BQ38="","",VLOOKUP(BQ38,Parts_Data!$D$2:$E$102,2,FALSE))</f>
        <v/>
      </c>
      <c r="BS38" s="64"/>
      <c r="BT38" s="68"/>
      <c r="BU38" s="26" t="str">
        <f>IF(BS38="","",VLOOKUP(BS38,Parts_Data!$H$2:$I$102,2,FALSE))</f>
        <v/>
      </c>
      <c r="BV38" s="64"/>
      <c r="BW38" s="26" t="str">
        <f>IF(BV38="","",VLOOKUP(BV38,Parts_Data!$D$2:$E$102,2,FALSE))</f>
        <v/>
      </c>
      <c r="BX38" s="64"/>
      <c r="BY38" s="68"/>
      <c r="BZ38" s="26" t="str">
        <f>IF(BX38="","",VLOOKUP(BX38,Parts_Data!$H$2:$I$102,2,FALSE))</f>
        <v/>
      </c>
    </row>
    <row r="39" spans="1:78" ht="15.6" x14ac:dyDescent="0.3">
      <c r="A39" t="str">
        <f>VLOOKUP($E$9,Structure_Data!$E$3:$AJ$35,28,FALSE)</f>
        <v>x</v>
      </c>
      <c r="B39" s="30" t="str">
        <f>IF(A39="x",VLOOKUP($A$9,Structure_Data!$E$3:$AJ$35,28,FALSE),"")</f>
        <v>E358</v>
      </c>
      <c r="C39" s="18" t="s">
        <v>90</v>
      </c>
      <c r="D39" s="63"/>
      <c r="E39" s="27" t="str">
        <f>IF(D39="","",VLOOKUP(D39,Parts_Data!$D$2:$E$102,2,FALSE))</f>
        <v/>
      </c>
      <c r="F39" s="63" t="s">
        <v>375</v>
      </c>
      <c r="G39" s="67" t="s">
        <v>663</v>
      </c>
      <c r="H39" s="27" t="str">
        <f>IF(F39="","",VLOOKUP(F39,Parts_Data!$H$2:$I$102,2,FALSE))</f>
        <v>AKE 169 462</v>
      </c>
      <c r="I39" s="63"/>
      <c r="J39" s="27" t="str">
        <f>IF(I39="","",VLOOKUP(I39,Parts_Data!$D$2:$E$102,2,FALSE))</f>
        <v/>
      </c>
      <c r="K39" s="63"/>
      <c r="L39" s="67"/>
      <c r="M39" s="27" t="str">
        <f>IF(K39="","",VLOOKUP(K39,Parts_Data!$H$2:$I$102,2,FALSE))</f>
        <v/>
      </c>
      <c r="N39" s="63"/>
      <c r="O39" s="27" t="str">
        <f>IF(N39="","",VLOOKUP(N39,Parts_Data!$D$2:$E$102,2,FALSE))</f>
        <v/>
      </c>
      <c r="P39" s="63"/>
      <c r="Q39" s="67"/>
      <c r="R39" s="27" t="str">
        <f>IF(P39="","",VLOOKUP(P39,Parts_Data!$H$2:$I$102,2,FALSE))</f>
        <v/>
      </c>
      <c r="S39" s="63"/>
      <c r="T39" s="27" t="str">
        <f>IF(S39="","",VLOOKUP(S39,Parts_Data!$D$2:$E$102,2,FALSE))</f>
        <v/>
      </c>
      <c r="U39" s="63"/>
      <c r="V39" s="67"/>
      <c r="W39" s="27" t="str">
        <f>IF(U39="","",VLOOKUP(U39,Parts_Data!$H$2:$I$102,2,FALSE))</f>
        <v/>
      </c>
      <c r="X39" s="63"/>
      <c r="Y39" s="27" t="str">
        <f>IF(X39="","",VLOOKUP(X39,Parts_Data!$D$2:$E$102,2,FALSE))</f>
        <v/>
      </c>
      <c r="Z39" s="63"/>
      <c r="AA39" s="67"/>
      <c r="AB39" s="27" t="str">
        <f>IF(Z39="","",VLOOKUP(Z39,Parts_Data!$H$2:$I$102,2,FALSE))</f>
        <v/>
      </c>
      <c r="AC39" s="63"/>
      <c r="AD39" s="27" t="str">
        <f>IF(AC39="","",VLOOKUP(AC39,Parts_Data!$D$2:$E$102,2,FALSE))</f>
        <v/>
      </c>
      <c r="AE39" s="63"/>
      <c r="AF39" s="67"/>
      <c r="AG39" s="27" t="str">
        <f>IF(AE39="","",VLOOKUP(AE39,Parts_Data!$H$2:$I$102,2,FALSE))</f>
        <v/>
      </c>
      <c r="AH39" s="63"/>
      <c r="AI39" s="27" t="str">
        <f>IF(AH39="","",VLOOKUP(AH39,Parts_Data!$D$2:$E$102,2,FALSE))</f>
        <v/>
      </c>
      <c r="AJ39" s="63"/>
      <c r="AK39" s="67"/>
      <c r="AL39" s="27" t="str">
        <f>IF(AJ39="","",VLOOKUP(AJ39,Parts_Data!$H$2:$I$102,2,FALSE))</f>
        <v/>
      </c>
      <c r="AM39" s="63"/>
      <c r="AN39" s="27" t="str">
        <f>IF(AM39="","",VLOOKUP(AM39,Parts_Data!$D$2:$E$102,2,FALSE))</f>
        <v/>
      </c>
      <c r="AO39" s="63"/>
      <c r="AP39" s="67"/>
      <c r="AQ39" s="27" t="str">
        <f>IF(AO39="","",VLOOKUP(AO39,Parts_Data!$H$2:$I$102,2,FALSE))</f>
        <v/>
      </c>
      <c r="AR39" s="63"/>
      <c r="AS39" s="27" t="str">
        <f>IF(AR39="","",VLOOKUP(AR39,Parts_Data!$D$2:$E$102,2,FALSE))</f>
        <v/>
      </c>
      <c r="AT39" s="63"/>
      <c r="AU39" s="67"/>
      <c r="AV39" s="27" t="str">
        <f>IF(AT39="","",VLOOKUP(AT39,Parts_Data!$H$2:$I$102,2,FALSE))</f>
        <v/>
      </c>
      <c r="AW39" s="63"/>
      <c r="AX39" s="27" t="str">
        <f>IF(AW39="","",VLOOKUP(AW39,Parts_Data!$D$2:$E$102,2,FALSE))</f>
        <v/>
      </c>
      <c r="AY39" s="63"/>
      <c r="AZ39" s="67"/>
      <c r="BA39" s="27" t="str">
        <f>IF(AY39="","",VLOOKUP(AY39,Parts_Data!$H$2:$I$102,2,FALSE))</f>
        <v/>
      </c>
      <c r="BB39" s="63"/>
      <c r="BC39" s="27" t="str">
        <f>IF(BB39="","",VLOOKUP(BB39,Parts_Data!$D$2:$E$102,2,FALSE))</f>
        <v/>
      </c>
      <c r="BD39" s="63"/>
      <c r="BE39" s="67"/>
      <c r="BF39" s="27" t="str">
        <f>IF(BD39="","",VLOOKUP(BD39,Parts_Data!$H$2:$I$102,2,FALSE))</f>
        <v/>
      </c>
      <c r="BG39" s="63"/>
      <c r="BH39" s="27" t="str">
        <f>IF(BG39="","",VLOOKUP(BG39,Parts_Data!$D$2:$E$102,2,FALSE))</f>
        <v/>
      </c>
      <c r="BI39" s="63"/>
      <c r="BJ39" s="67"/>
      <c r="BK39" s="27" t="str">
        <f>IF(BI39="","",VLOOKUP(BI39,Parts_Data!$H$2:$I$102,2,FALSE))</f>
        <v/>
      </c>
      <c r="BL39" s="63"/>
      <c r="BM39" s="27" t="str">
        <f>IF(BL39="","",VLOOKUP(BL39,Parts_Data!$D$2:$E$102,2,FALSE))</f>
        <v/>
      </c>
      <c r="BN39" s="63"/>
      <c r="BO39" s="67"/>
      <c r="BP39" s="27" t="str">
        <f>IF(BN39="","",VLOOKUP(BN39,Parts_Data!$H$2:$I$102,2,FALSE))</f>
        <v/>
      </c>
      <c r="BQ39" s="63"/>
      <c r="BR39" s="27" t="str">
        <f>IF(BQ39="","",VLOOKUP(BQ39,Parts_Data!$D$2:$E$102,2,FALSE))</f>
        <v/>
      </c>
      <c r="BS39" s="63"/>
      <c r="BT39" s="67"/>
      <c r="BU39" s="27" t="str">
        <f>IF(BS39="","",VLOOKUP(BS39,Parts_Data!$H$2:$I$102,2,FALSE))</f>
        <v/>
      </c>
      <c r="BV39" s="63"/>
      <c r="BW39" s="27" t="str">
        <f>IF(BV39="","",VLOOKUP(BV39,Parts_Data!$D$2:$E$102,2,FALSE))</f>
        <v/>
      </c>
      <c r="BX39" s="63"/>
      <c r="BY39" s="67"/>
      <c r="BZ39" s="27" t="str">
        <f>IF(BX39="","",VLOOKUP(BX39,Parts_Data!$H$2:$I$102,2,FALSE))</f>
        <v/>
      </c>
    </row>
    <row r="40" spans="1:78" ht="15.6" x14ac:dyDescent="0.3">
      <c r="A40">
        <f>VLOOKUP($E$9,Structure_Data!$E$3:$AJ$35,29,FALSE)</f>
        <v>0</v>
      </c>
      <c r="B40" s="30" t="str">
        <f>IF(A40="x",VLOOKUP($A$9,Structure_Data!$E$3:$AJ$35,29,FALSE),"")</f>
        <v/>
      </c>
      <c r="C40" s="19"/>
      <c r="D40" s="64"/>
      <c r="E40" s="26" t="str">
        <f>IF(D40="","",VLOOKUP(D40,Parts_Data!$D$2:$E$102,2,FALSE))</f>
        <v/>
      </c>
      <c r="F40" s="64"/>
      <c r="G40" s="68"/>
      <c r="H40" s="26" t="str">
        <f>IF(F40="","",VLOOKUP(F40,Parts_Data!$H$2:$I$102,2,FALSE))</f>
        <v/>
      </c>
      <c r="I40" s="64"/>
      <c r="J40" s="26" t="str">
        <f>IF(I40="","",VLOOKUP(I40,Parts_Data!$D$2:$E$102,2,FALSE))</f>
        <v/>
      </c>
      <c r="K40" s="64"/>
      <c r="L40" s="68"/>
      <c r="M40" s="26" t="str">
        <f>IF(K40="","",VLOOKUP(K40,Parts_Data!$H$2:$I$102,2,FALSE))</f>
        <v/>
      </c>
      <c r="N40" s="64"/>
      <c r="O40" s="26" t="str">
        <f>IF(N40="","",VLOOKUP(N40,Parts_Data!$D$2:$E$102,2,FALSE))</f>
        <v/>
      </c>
      <c r="P40" s="64"/>
      <c r="Q40" s="68"/>
      <c r="R40" s="26" t="str">
        <f>IF(P40="","",VLOOKUP(P40,Parts_Data!$H$2:$I$102,2,FALSE))</f>
        <v/>
      </c>
      <c r="S40" s="64"/>
      <c r="T40" s="26" t="str">
        <f>IF(S40="","",VLOOKUP(S40,Parts_Data!$D$2:$E$102,2,FALSE))</f>
        <v/>
      </c>
      <c r="U40" s="64"/>
      <c r="V40" s="68"/>
      <c r="W40" s="26" t="str">
        <f>IF(U40="","",VLOOKUP(U40,Parts_Data!$H$2:$I$102,2,FALSE))</f>
        <v/>
      </c>
      <c r="X40" s="64"/>
      <c r="Y40" s="26" t="str">
        <f>IF(X40="","",VLOOKUP(X40,Parts_Data!$D$2:$E$102,2,FALSE))</f>
        <v/>
      </c>
      <c r="Z40" s="64"/>
      <c r="AA40" s="68"/>
      <c r="AB40" s="26" t="str">
        <f>IF(Z40="","",VLOOKUP(Z40,Parts_Data!$H$2:$I$102,2,FALSE))</f>
        <v/>
      </c>
      <c r="AC40" s="64"/>
      <c r="AD40" s="26" t="str">
        <f>IF(AC40="","",VLOOKUP(AC40,Parts_Data!$D$2:$E$102,2,FALSE))</f>
        <v/>
      </c>
      <c r="AE40" s="64"/>
      <c r="AF40" s="68"/>
      <c r="AG40" s="26" t="str">
        <f>IF(AE40="","",VLOOKUP(AE40,Parts_Data!$H$2:$I$102,2,FALSE))</f>
        <v/>
      </c>
      <c r="AH40" s="64"/>
      <c r="AI40" s="26" t="str">
        <f>IF(AH40="","",VLOOKUP(AH40,Parts_Data!$D$2:$E$102,2,FALSE))</f>
        <v/>
      </c>
      <c r="AJ40" s="64"/>
      <c r="AK40" s="68"/>
      <c r="AL40" s="26" t="str">
        <f>IF(AJ40="","",VLOOKUP(AJ40,Parts_Data!$H$2:$I$102,2,FALSE))</f>
        <v/>
      </c>
      <c r="AM40" s="64"/>
      <c r="AN40" s="26" t="str">
        <f>IF(AM40="","",VLOOKUP(AM40,Parts_Data!$D$2:$E$102,2,FALSE))</f>
        <v/>
      </c>
      <c r="AO40" s="64"/>
      <c r="AP40" s="68"/>
      <c r="AQ40" s="26" t="str">
        <f>IF(AO40="","",VLOOKUP(AO40,Parts_Data!$H$2:$I$102,2,FALSE))</f>
        <v/>
      </c>
      <c r="AR40" s="64"/>
      <c r="AS40" s="26" t="str">
        <f>IF(AR40="","",VLOOKUP(AR40,Parts_Data!$D$2:$E$102,2,FALSE))</f>
        <v/>
      </c>
      <c r="AT40" s="64"/>
      <c r="AU40" s="68"/>
      <c r="AV40" s="26" t="str">
        <f>IF(AT40="","",VLOOKUP(AT40,Parts_Data!$H$2:$I$102,2,FALSE))</f>
        <v/>
      </c>
      <c r="AW40" s="64"/>
      <c r="AX40" s="26" t="str">
        <f>IF(AW40="","",VLOOKUP(AW40,Parts_Data!$D$2:$E$102,2,FALSE))</f>
        <v/>
      </c>
      <c r="AY40" s="64"/>
      <c r="AZ40" s="68"/>
      <c r="BA40" s="26" t="str">
        <f>IF(AY40="","",VLOOKUP(AY40,Parts_Data!$H$2:$I$102,2,FALSE))</f>
        <v/>
      </c>
      <c r="BB40" s="64"/>
      <c r="BC40" s="26" t="str">
        <f>IF(BB40="","",VLOOKUP(BB40,Parts_Data!$D$2:$E$102,2,FALSE))</f>
        <v/>
      </c>
      <c r="BD40" s="64"/>
      <c r="BE40" s="68"/>
      <c r="BF40" s="26" t="str">
        <f>IF(BD40="","",VLOOKUP(BD40,Parts_Data!$H$2:$I$102,2,FALSE))</f>
        <v/>
      </c>
      <c r="BG40" s="64"/>
      <c r="BH40" s="26" t="str">
        <f>IF(BG40="","",VLOOKUP(BG40,Parts_Data!$D$2:$E$102,2,FALSE))</f>
        <v/>
      </c>
      <c r="BI40" s="64"/>
      <c r="BJ40" s="68"/>
      <c r="BK40" s="26" t="str">
        <f>IF(BI40="","",VLOOKUP(BI40,Parts_Data!$H$2:$I$102,2,FALSE))</f>
        <v/>
      </c>
      <c r="BL40" s="64"/>
      <c r="BM40" s="26" t="str">
        <f>IF(BL40="","",VLOOKUP(BL40,Parts_Data!$D$2:$E$102,2,FALSE))</f>
        <v/>
      </c>
      <c r="BN40" s="64"/>
      <c r="BO40" s="68"/>
      <c r="BP40" s="26" t="str">
        <f>IF(BN40="","",VLOOKUP(BN40,Parts_Data!$H$2:$I$102,2,FALSE))</f>
        <v/>
      </c>
      <c r="BQ40" s="64"/>
      <c r="BR40" s="26" t="str">
        <f>IF(BQ40="","",VLOOKUP(BQ40,Parts_Data!$D$2:$E$102,2,FALSE))</f>
        <v/>
      </c>
      <c r="BS40" s="64"/>
      <c r="BT40" s="68"/>
      <c r="BU40" s="26" t="str">
        <f>IF(BS40="","",VLOOKUP(BS40,Parts_Data!$H$2:$I$102,2,FALSE))</f>
        <v/>
      </c>
      <c r="BV40" s="64"/>
      <c r="BW40" s="26" t="str">
        <f>IF(BV40="","",VLOOKUP(BV40,Parts_Data!$D$2:$E$102,2,FALSE))</f>
        <v/>
      </c>
      <c r="BX40" s="64"/>
      <c r="BY40" s="68"/>
      <c r="BZ40" s="26" t="str">
        <f>IF(BX40="","",VLOOKUP(BX40,Parts_Data!$H$2:$I$102,2,FALSE))</f>
        <v/>
      </c>
    </row>
    <row r="41" spans="1:78" ht="15.6" x14ac:dyDescent="0.3">
      <c r="A41">
        <f>VLOOKUP($E$9,Structure_Data!$E$3:$AJ$35,30,FALSE)</f>
        <v>0</v>
      </c>
      <c r="B41" s="30" t="str">
        <f>IF(A41="x",VLOOKUP($A$9,Structure_Data!$E$3:$AJ$35,30,FALSE),"")</f>
        <v/>
      </c>
      <c r="C41" s="18"/>
      <c r="D41" s="63"/>
      <c r="E41" s="27" t="str">
        <f>IF(D41="","",VLOOKUP(D41,Parts_Data!$D$2:$E$102,2,FALSE))</f>
        <v/>
      </c>
      <c r="F41" s="63"/>
      <c r="G41" s="67"/>
      <c r="H41" s="27" t="str">
        <f>IF(F41="","",VLOOKUP(F41,Parts_Data!$H$2:$I$102,2,FALSE))</f>
        <v/>
      </c>
      <c r="I41" s="63"/>
      <c r="J41" s="27" t="str">
        <f>IF(I41="","",VLOOKUP(I41,Parts_Data!$D$2:$E$102,2,FALSE))</f>
        <v/>
      </c>
      <c r="K41" s="63"/>
      <c r="L41" s="67"/>
      <c r="M41" s="27" t="str">
        <f>IF(K41="","",VLOOKUP(K41,Parts_Data!$H$2:$I$102,2,FALSE))</f>
        <v/>
      </c>
      <c r="N41" s="63"/>
      <c r="O41" s="27" t="str">
        <f>IF(N41="","",VLOOKUP(N41,Parts_Data!$D$2:$E$102,2,FALSE))</f>
        <v/>
      </c>
      <c r="P41" s="63"/>
      <c r="Q41" s="67"/>
      <c r="R41" s="27" t="str">
        <f>IF(P41="","",VLOOKUP(P41,Parts_Data!$H$2:$I$102,2,FALSE))</f>
        <v/>
      </c>
      <c r="S41" s="63"/>
      <c r="T41" s="27" t="str">
        <f>IF(S41="","",VLOOKUP(S41,Parts_Data!$D$2:$E$102,2,FALSE))</f>
        <v/>
      </c>
      <c r="U41" s="63"/>
      <c r="V41" s="67"/>
      <c r="W41" s="27" t="str">
        <f>IF(U41="","",VLOOKUP(U41,Parts_Data!$H$2:$I$102,2,FALSE))</f>
        <v/>
      </c>
      <c r="X41" s="63"/>
      <c r="Y41" s="27" t="str">
        <f>IF(X41="","",VLOOKUP(X41,Parts_Data!$D$2:$E$102,2,FALSE))</f>
        <v/>
      </c>
      <c r="Z41" s="63"/>
      <c r="AA41" s="67"/>
      <c r="AB41" s="27" t="str">
        <f>IF(Z41="","",VLOOKUP(Z41,Parts_Data!$H$2:$I$102,2,FALSE))</f>
        <v/>
      </c>
      <c r="AC41" s="63"/>
      <c r="AD41" s="27" t="str">
        <f>IF(AC41="","",VLOOKUP(AC41,Parts_Data!$D$2:$E$102,2,FALSE))</f>
        <v/>
      </c>
      <c r="AE41" s="63"/>
      <c r="AF41" s="67"/>
      <c r="AG41" s="27" t="str">
        <f>IF(AE41="","",VLOOKUP(AE41,Parts_Data!$H$2:$I$102,2,FALSE))</f>
        <v/>
      </c>
      <c r="AH41" s="63"/>
      <c r="AI41" s="27" t="str">
        <f>IF(AH41="","",VLOOKUP(AH41,Parts_Data!$D$2:$E$102,2,FALSE))</f>
        <v/>
      </c>
      <c r="AJ41" s="63"/>
      <c r="AK41" s="67"/>
      <c r="AL41" s="27" t="str">
        <f>IF(AJ41="","",VLOOKUP(AJ41,Parts_Data!$H$2:$I$102,2,FALSE))</f>
        <v/>
      </c>
      <c r="AM41" s="63"/>
      <c r="AN41" s="27" t="str">
        <f>IF(AM41="","",VLOOKUP(AM41,Parts_Data!$D$2:$E$102,2,FALSE))</f>
        <v/>
      </c>
      <c r="AO41" s="63"/>
      <c r="AP41" s="67"/>
      <c r="AQ41" s="27" t="str">
        <f>IF(AO41="","",VLOOKUP(AO41,Parts_Data!$H$2:$I$102,2,FALSE))</f>
        <v/>
      </c>
      <c r="AR41" s="63"/>
      <c r="AS41" s="27" t="str">
        <f>IF(AR41="","",VLOOKUP(AR41,Parts_Data!$D$2:$E$102,2,FALSE))</f>
        <v/>
      </c>
      <c r="AT41" s="63"/>
      <c r="AU41" s="67"/>
      <c r="AV41" s="27" t="str">
        <f>IF(AT41="","",VLOOKUP(AT41,Parts_Data!$H$2:$I$102,2,FALSE))</f>
        <v/>
      </c>
      <c r="AW41" s="63"/>
      <c r="AX41" s="27" t="str">
        <f>IF(AW41="","",VLOOKUP(AW41,Parts_Data!$D$2:$E$102,2,FALSE))</f>
        <v/>
      </c>
      <c r="AY41" s="63"/>
      <c r="AZ41" s="67"/>
      <c r="BA41" s="27" t="str">
        <f>IF(AY41="","",VLOOKUP(AY41,Parts_Data!$H$2:$I$102,2,FALSE))</f>
        <v/>
      </c>
      <c r="BB41" s="63"/>
      <c r="BC41" s="27" t="str">
        <f>IF(BB41="","",VLOOKUP(BB41,Parts_Data!$D$2:$E$102,2,FALSE))</f>
        <v/>
      </c>
      <c r="BD41" s="63"/>
      <c r="BE41" s="67"/>
      <c r="BF41" s="27" t="str">
        <f>IF(BD41="","",VLOOKUP(BD41,Parts_Data!$H$2:$I$102,2,FALSE))</f>
        <v/>
      </c>
      <c r="BG41" s="63"/>
      <c r="BH41" s="27" t="str">
        <f>IF(BG41="","",VLOOKUP(BG41,Parts_Data!$D$2:$E$102,2,FALSE))</f>
        <v/>
      </c>
      <c r="BI41" s="63"/>
      <c r="BJ41" s="67"/>
      <c r="BK41" s="27" t="str">
        <f>IF(BI41="","",VLOOKUP(BI41,Parts_Data!$H$2:$I$102,2,FALSE))</f>
        <v/>
      </c>
      <c r="BL41" s="63"/>
      <c r="BM41" s="27" t="str">
        <f>IF(BL41="","",VLOOKUP(BL41,Parts_Data!$D$2:$E$102,2,FALSE))</f>
        <v/>
      </c>
      <c r="BN41" s="63"/>
      <c r="BO41" s="67"/>
      <c r="BP41" s="27" t="str">
        <f>IF(BN41="","",VLOOKUP(BN41,Parts_Data!$H$2:$I$102,2,FALSE))</f>
        <v/>
      </c>
      <c r="BQ41" s="63"/>
      <c r="BR41" s="27" t="str">
        <f>IF(BQ41="","",VLOOKUP(BQ41,Parts_Data!$D$2:$E$102,2,FALSE))</f>
        <v/>
      </c>
      <c r="BS41" s="63"/>
      <c r="BT41" s="67"/>
      <c r="BU41" s="27" t="str">
        <f>IF(BS41="","",VLOOKUP(BS41,Parts_Data!$H$2:$I$102,2,FALSE))</f>
        <v/>
      </c>
      <c r="BV41" s="63"/>
      <c r="BW41" s="27" t="str">
        <f>IF(BV41="","",VLOOKUP(BV41,Parts_Data!$D$2:$E$102,2,FALSE))</f>
        <v/>
      </c>
      <c r="BX41" s="63"/>
      <c r="BY41" s="67"/>
      <c r="BZ41" s="27" t="str">
        <f>IF(BX41="","",VLOOKUP(BX41,Parts_Data!$H$2:$I$102,2,FALSE))</f>
        <v/>
      </c>
    </row>
    <row r="42" spans="1:78" ht="15.6" x14ac:dyDescent="0.3">
      <c r="A42">
        <f>VLOOKUP($E$9,Structure_Data!$E$3:$AJ$35,31,FALSE)</f>
        <v>0</v>
      </c>
      <c r="B42" s="30" t="str">
        <f>IF(A42="x",VLOOKUP($A$9,Structure_Data!$E$3:$AJ$35,31,FALSE),"")</f>
        <v/>
      </c>
      <c r="C42" s="19"/>
      <c r="D42" s="64"/>
      <c r="E42" s="26" t="str">
        <f>IF(D42="","",VLOOKUP(D42,Parts_Data!$D$2:$E$102,2,FALSE))</f>
        <v/>
      </c>
      <c r="F42" s="64"/>
      <c r="G42" s="68"/>
      <c r="H42" s="26" t="str">
        <f>IF(F42="","",VLOOKUP(F42,Parts_Data!$H$2:$I$102,2,FALSE))</f>
        <v/>
      </c>
      <c r="I42" s="64"/>
      <c r="J42" s="26" t="str">
        <f>IF(I42="","",VLOOKUP(I42,Parts_Data!$D$2:$E$102,2,FALSE))</f>
        <v/>
      </c>
      <c r="K42" s="64"/>
      <c r="L42" s="68"/>
      <c r="M42" s="26" t="str">
        <f>IF(K42="","",VLOOKUP(K42,Parts_Data!$H$2:$I$102,2,FALSE))</f>
        <v/>
      </c>
      <c r="N42" s="64"/>
      <c r="O42" s="26" t="str">
        <f>IF(N42="","",VLOOKUP(N42,Parts_Data!$D$2:$E$102,2,FALSE))</f>
        <v/>
      </c>
      <c r="P42" s="64"/>
      <c r="Q42" s="68"/>
      <c r="R42" s="26" t="str">
        <f>IF(P42="","",VLOOKUP(P42,Parts_Data!$H$2:$I$102,2,FALSE))</f>
        <v/>
      </c>
      <c r="S42" s="64"/>
      <c r="T42" s="26" t="str">
        <f>IF(S42="","",VLOOKUP(S42,Parts_Data!$D$2:$E$102,2,FALSE))</f>
        <v/>
      </c>
      <c r="U42" s="64"/>
      <c r="V42" s="68"/>
      <c r="W42" s="26" t="str">
        <f>IF(U42="","",VLOOKUP(U42,Parts_Data!$H$2:$I$102,2,FALSE))</f>
        <v/>
      </c>
      <c r="X42" s="64"/>
      <c r="Y42" s="26" t="str">
        <f>IF(X42="","",VLOOKUP(X42,Parts_Data!$D$2:$E$102,2,FALSE))</f>
        <v/>
      </c>
      <c r="Z42" s="64"/>
      <c r="AA42" s="68"/>
      <c r="AB42" s="26" t="str">
        <f>IF(Z42="","",VLOOKUP(Z42,Parts_Data!$H$2:$I$102,2,FALSE))</f>
        <v/>
      </c>
      <c r="AC42" s="64"/>
      <c r="AD42" s="26" t="str">
        <f>IF(AC42="","",VLOOKUP(AC42,Parts_Data!$D$2:$E$102,2,FALSE))</f>
        <v/>
      </c>
      <c r="AE42" s="64"/>
      <c r="AF42" s="68"/>
      <c r="AG42" s="26" t="str">
        <f>IF(AE42="","",VLOOKUP(AE42,Parts_Data!$H$2:$I$102,2,FALSE))</f>
        <v/>
      </c>
      <c r="AH42" s="64"/>
      <c r="AI42" s="26" t="str">
        <f>IF(AH42="","",VLOOKUP(AH42,Parts_Data!$D$2:$E$102,2,FALSE))</f>
        <v/>
      </c>
      <c r="AJ42" s="64"/>
      <c r="AK42" s="68"/>
      <c r="AL42" s="26" t="str">
        <f>IF(AJ42="","",VLOOKUP(AJ42,Parts_Data!$H$2:$I$102,2,FALSE))</f>
        <v/>
      </c>
      <c r="AM42" s="64"/>
      <c r="AN42" s="26" t="str">
        <f>IF(AM42="","",VLOOKUP(AM42,Parts_Data!$D$2:$E$102,2,FALSE))</f>
        <v/>
      </c>
      <c r="AO42" s="64"/>
      <c r="AP42" s="68"/>
      <c r="AQ42" s="26" t="str">
        <f>IF(AO42="","",VLOOKUP(AO42,Parts_Data!$H$2:$I$102,2,FALSE))</f>
        <v/>
      </c>
      <c r="AR42" s="64"/>
      <c r="AS42" s="26" t="str">
        <f>IF(AR42="","",VLOOKUP(AR42,Parts_Data!$D$2:$E$102,2,FALSE))</f>
        <v/>
      </c>
      <c r="AT42" s="64"/>
      <c r="AU42" s="68"/>
      <c r="AV42" s="26" t="str">
        <f>IF(AT42="","",VLOOKUP(AT42,Parts_Data!$H$2:$I$102,2,FALSE))</f>
        <v/>
      </c>
      <c r="AW42" s="64"/>
      <c r="AX42" s="26" t="str">
        <f>IF(AW42="","",VLOOKUP(AW42,Parts_Data!$D$2:$E$102,2,FALSE))</f>
        <v/>
      </c>
      <c r="AY42" s="64"/>
      <c r="AZ42" s="68"/>
      <c r="BA42" s="26" t="str">
        <f>IF(AY42="","",VLOOKUP(AY42,Parts_Data!$H$2:$I$102,2,FALSE))</f>
        <v/>
      </c>
      <c r="BB42" s="64"/>
      <c r="BC42" s="26" t="str">
        <f>IF(BB42="","",VLOOKUP(BB42,Parts_Data!$D$2:$E$102,2,FALSE))</f>
        <v/>
      </c>
      <c r="BD42" s="64"/>
      <c r="BE42" s="68"/>
      <c r="BF42" s="26" t="str">
        <f>IF(BD42="","",VLOOKUP(BD42,Parts_Data!$H$2:$I$102,2,FALSE))</f>
        <v/>
      </c>
      <c r="BG42" s="64"/>
      <c r="BH42" s="26" t="str">
        <f>IF(BG42="","",VLOOKUP(BG42,Parts_Data!$D$2:$E$102,2,FALSE))</f>
        <v/>
      </c>
      <c r="BI42" s="64"/>
      <c r="BJ42" s="68"/>
      <c r="BK42" s="26" t="str">
        <f>IF(BI42="","",VLOOKUP(BI42,Parts_Data!$H$2:$I$102,2,FALSE))</f>
        <v/>
      </c>
      <c r="BL42" s="64"/>
      <c r="BM42" s="26" t="str">
        <f>IF(BL42="","",VLOOKUP(BL42,Parts_Data!$D$2:$E$102,2,FALSE))</f>
        <v/>
      </c>
      <c r="BN42" s="64"/>
      <c r="BO42" s="68"/>
      <c r="BP42" s="26" t="str">
        <f>IF(BN42="","",VLOOKUP(BN42,Parts_Data!$H$2:$I$102,2,FALSE))</f>
        <v/>
      </c>
      <c r="BQ42" s="64"/>
      <c r="BR42" s="26" t="str">
        <f>IF(BQ42="","",VLOOKUP(BQ42,Parts_Data!$D$2:$E$102,2,FALSE))</f>
        <v/>
      </c>
      <c r="BS42" s="64"/>
      <c r="BT42" s="68"/>
      <c r="BU42" s="26" t="str">
        <f>IF(BS42="","",VLOOKUP(BS42,Parts_Data!$H$2:$I$102,2,FALSE))</f>
        <v/>
      </c>
      <c r="BV42" s="64"/>
      <c r="BW42" s="26" t="str">
        <f>IF(BV42="","",VLOOKUP(BV42,Parts_Data!$D$2:$E$102,2,FALSE))</f>
        <v/>
      </c>
      <c r="BX42" s="64"/>
      <c r="BY42" s="68"/>
      <c r="BZ42" s="26" t="str">
        <f>IF(BX42="","",VLOOKUP(BX42,Parts_Data!$H$2:$I$102,2,FALSE))</f>
        <v/>
      </c>
    </row>
    <row r="43" spans="1:78" ht="16.2" thickBot="1" x14ac:dyDescent="0.35">
      <c r="A43">
        <f>VLOOKUP($E$9,Structure_Data!$E$3:$AJ$35,32,FALSE)</f>
        <v>0</v>
      </c>
      <c r="B43" s="31" t="str">
        <f>IF(A43="x",VLOOKUP($A$9,Structure_Data!$E$3:$AJ$35,32,FALSE),"")</f>
        <v/>
      </c>
      <c r="C43" s="29"/>
      <c r="D43" s="65"/>
      <c r="E43" s="28" t="str">
        <f>IF(D43="","",VLOOKUP(D43,Parts_Data!$D$2:$E$102,2,FALSE))</f>
        <v/>
      </c>
      <c r="F43" s="65"/>
      <c r="G43" s="69"/>
      <c r="H43" s="28" t="str">
        <f>IF(F43="","",VLOOKUP(F43,Parts_Data!$H$2:$I$102,2,FALSE))</f>
        <v/>
      </c>
      <c r="I43" s="65"/>
      <c r="J43" s="28" t="str">
        <f>IF(I43="","",VLOOKUP(I43,Parts_Data!$D$2:$E$102,2,FALSE))</f>
        <v/>
      </c>
      <c r="K43" s="65"/>
      <c r="L43" s="69"/>
      <c r="M43" s="28" t="str">
        <f>IF(K43="","",VLOOKUP(K43,Parts_Data!$H$2:$I$102,2,FALSE))</f>
        <v/>
      </c>
      <c r="N43" s="65"/>
      <c r="O43" s="28" t="str">
        <f>IF(N43="","",VLOOKUP(N43,Parts_Data!$D$2:$E$102,2,FALSE))</f>
        <v/>
      </c>
      <c r="P43" s="65"/>
      <c r="Q43" s="69"/>
      <c r="R43" s="28" t="str">
        <f>IF(P43="","",VLOOKUP(P43,Parts_Data!$H$2:$I$102,2,FALSE))</f>
        <v/>
      </c>
      <c r="S43" s="65"/>
      <c r="T43" s="28" t="str">
        <f>IF(S43="","",VLOOKUP(S43,Parts_Data!$D$2:$E$102,2,FALSE))</f>
        <v/>
      </c>
      <c r="U43" s="65"/>
      <c r="V43" s="69"/>
      <c r="W43" s="28" t="str">
        <f>IF(U43="","",VLOOKUP(U43,Parts_Data!$H$2:$I$102,2,FALSE))</f>
        <v/>
      </c>
      <c r="X43" s="65"/>
      <c r="Y43" s="28" t="str">
        <f>IF(X43="","",VLOOKUP(X43,Parts_Data!$D$2:$E$102,2,FALSE))</f>
        <v/>
      </c>
      <c r="Z43" s="65"/>
      <c r="AA43" s="69"/>
      <c r="AB43" s="28" t="str">
        <f>IF(Z43="","",VLOOKUP(Z43,Parts_Data!$H$2:$I$102,2,FALSE))</f>
        <v/>
      </c>
      <c r="AC43" s="65"/>
      <c r="AD43" s="28" t="str">
        <f>IF(AC43="","",VLOOKUP(AC43,Parts_Data!$D$2:$E$102,2,FALSE))</f>
        <v/>
      </c>
      <c r="AE43" s="65"/>
      <c r="AF43" s="69"/>
      <c r="AG43" s="28" t="str">
        <f>IF(AE43="","",VLOOKUP(AE43,Parts_Data!$H$2:$I$102,2,FALSE))</f>
        <v/>
      </c>
      <c r="AH43" s="65"/>
      <c r="AI43" s="28" t="str">
        <f>IF(AH43="","",VLOOKUP(AH43,Parts_Data!$D$2:$E$102,2,FALSE))</f>
        <v/>
      </c>
      <c r="AJ43" s="65"/>
      <c r="AK43" s="69"/>
      <c r="AL43" s="28" t="str">
        <f>IF(AJ43="","",VLOOKUP(AJ43,Parts_Data!$H$2:$I$102,2,FALSE))</f>
        <v/>
      </c>
      <c r="AM43" s="65"/>
      <c r="AN43" s="28" t="str">
        <f>IF(AM43="","",VLOOKUP(AM43,Parts_Data!$D$2:$E$102,2,FALSE))</f>
        <v/>
      </c>
      <c r="AO43" s="65"/>
      <c r="AP43" s="69"/>
      <c r="AQ43" s="28" t="str">
        <f>IF(AO43="","",VLOOKUP(AO43,Parts_Data!$H$2:$I$102,2,FALSE))</f>
        <v/>
      </c>
      <c r="AR43" s="65"/>
      <c r="AS43" s="28" t="str">
        <f>IF(AR43="","",VLOOKUP(AR43,Parts_Data!$D$2:$E$102,2,FALSE))</f>
        <v/>
      </c>
      <c r="AT43" s="65"/>
      <c r="AU43" s="69"/>
      <c r="AV43" s="28" t="str">
        <f>IF(AT43="","",VLOOKUP(AT43,Parts_Data!$H$2:$I$102,2,FALSE))</f>
        <v/>
      </c>
      <c r="AW43" s="65"/>
      <c r="AX43" s="28" t="str">
        <f>IF(AW43="","",VLOOKUP(AW43,Parts_Data!$D$2:$E$102,2,FALSE))</f>
        <v/>
      </c>
      <c r="AY43" s="65"/>
      <c r="AZ43" s="69"/>
      <c r="BA43" s="28" t="str">
        <f>IF(AY43="","",VLOOKUP(AY43,Parts_Data!$H$2:$I$102,2,FALSE))</f>
        <v/>
      </c>
      <c r="BB43" s="65"/>
      <c r="BC43" s="28" t="str">
        <f>IF(BB43="","",VLOOKUP(BB43,Parts_Data!$D$2:$E$102,2,FALSE))</f>
        <v/>
      </c>
      <c r="BD43" s="65"/>
      <c r="BE43" s="69"/>
      <c r="BF43" s="28" t="str">
        <f>IF(BD43="","",VLOOKUP(BD43,Parts_Data!$H$2:$I$102,2,FALSE))</f>
        <v/>
      </c>
      <c r="BG43" s="65"/>
      <c r="BH43" s="28" t="str">
        <f>IF(BG43="","",VLOOKUP(BG43,Parts_Data!$D$2:$E$102,2,FALSE))</f>
        <v/>
      </c>
      <c r="BI43" s="65"/>
      <c r="BJ43" s="69"/>
      <c r="BK43" s="28" t="str">
        <f>IF(BI43="","",VLOOKUP(BI43,Parts_Data!$H$2:$I$102,2,FALSE))</f>
        <v/>
      </c>
      <c r="BL43" s="65"/>
      <c r="BM43" s="28" t="str">
        <f>IF(BL43="","",VLOOKUP(BL43,Parts_Data!$D$2:$E$102,2,FALSE))</f>
        <v/>
      </c>
      <c r="BN43" s="65"/>
      <c r="BO43" s="69"/>
      <c r="BP43" s="28" t="str">
        <f>IF(BN43="","",VLOOKUP(BN43,Parts_Data!$H$2:$I$102,2,FALSE))</f>
        <v/>
      </c>
      <c r="BQ43" s="65"/>
      <c r="BR43" s="28" t="str">
        <f>IF(BQ43="","",VLOOKUP(BQ43,Parts_Data!$D$2:$E$102,2,FALSE))</f>
        <v/>
      </c>
      <c r="BS43" s="65"/>
      <c r="BT43" s="69"/>
      <c r="BU43" s="28" t="str">
        <f>IF(BS43="","",VLOOKUP(BS43,Parts_Data!$H$2:$I$102,2,FALSE))</f>
        <v/>
      </c>
      <c r="BV43" s="65"/>
      <c r="BW43" s="28" t="str">
        <f>IF(BV43="","",VLOOKUP(BV43,Parts_Data!$D$2:$E$102,2,FALSE))</f>
        <v/>
      </c>
      <c r="BX43" s="65"/>
      <c r="BY43" s="69"/>
      <c r="BZ43" s="28" t="str">
        <f>IF(BX43="","",VLOOKUP(BX43,Parts_Data!$H$2:$I$102,2,FALSE))</f>
        <v/>
      </c>
    </row>
  </sheetData>
  <sheetProtection algorithmName="SHA-512" hashValue="Be4wBabJnBy5d2h+jojSGIIbUR5Q+SXRvLrcgtIpecGBVuWN5g2DYDAJXg/NeuN1vL0bxXJaEcgYuzgBfF+ugA==" saltValue="rd2Lg1OFdPPU1urxj/omDA==" spinCount="100000" sheet="1" objects="1" scenarios="1" formatCells="0" formatColumns="0" formatRows="0" selectLockedCells="1"/>
  <mergeCells count="14">
    <mergeCell ref="C2:C4"/>
    <mergeCell ref="D2:H4"/>
    <mergeCell ref="D6:E6"/>
    <mergeCell ref="F6:G6"/>
    <mergeCell ref="G9:H9"/>
    <mergeCell ref="G8:H8"/>
    <mergeCell ref="F10:G10"/>
    <mergeCell ref="D7:E7"/>
    <mergeCell ref="F7:G7"/>
    <mergeCell ref="C8:D8"/>
    <mergeCell ref="E8:F8"/>
    <mergeCell ref="C9:D9"/>
    <mergeCell ref="E9:F9"/>
    <mergeCell ref="D10:E10"/>
  </mergeCells>
  <phoneticPr fontId="1" type="noConversion"/>
  <dataValidations count="4">
    <dataValidation type="list" allowBlank="1" showInputMessage="1" showErrorMessage="1" sqref="E9:F9" xr:uid="{0F6A3997-7EDE-4562-A2D7-269488DC39D1}">
      <formula1>INDIRECT($A$9)</formula1>
    </dataValidation>
    <dataValidation type="list" allowBlank="1" showInputMessage="1" showErrorMessage="1" sqref="D14:D43 AC14:AC43 AH14:AH43 I14:I43 N14:N43 S14:S43 X14:X43 AM14:AM43 AR14:AR43 AW14:AW43 BB14:BB43 BG14:BG43 BL14:BL43 BQ14:BQ43 BV14:BV43" xr:uid="{5DF981B8-A596-4FCC-9BC3-96041812580C}">
      <formula1>INDIRECT($D$12)</formula1>
    </dataValidation>
    <dataValidation type="list" allowBlank="1" showInputMessage="1" showErrorMessage="1" sqref="Z14:Z43 F14:F43 AJ14:AJ43 K14:K43 P14:P43 U14:U43 AE14:AE43 AO14:AO43 AT14:AT43 AY14:AY43 BD14:BD43 BI14:BI43 BN14:BN43 BS14:BS43 BX14:BX43" xr:uid="{F56C6114-5A0F-4EFA-9F23-11E7DDB71477}">
      <formula1>INDIRECT($F$12)</formula1>
    </dataValidation>
    <dataValidation type="list" allowBlank="1" showInputMessage="1" showErrorMessage="1" sqref="C14:C43" xr:uid="{183CC696-CCAD-4678-BED4-0669B08D02F8}">
      <formula1>INDIRECT("_"&amp;$B14)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55C2A5-94B6-465D-8C5E-7E4DFC4BA078}">
          <x14:formula1>
            <xm:f>Structure_Data!$A$24:$A$34</xm:f>
          </x14:formula1>
          <xm:sqref>C9:D9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C2DA8-9C78-4A0A-B6D5-F66E02054732}">
  <sheetPr codeName="Sheet3"/>
  <dimension ref="A1:AP29"/>
  <sheetViews>
    <sheetView showGridLines="0" topLeftCell="B1" workbookViewId="0">
      <pane xSplit="1" topLeftCell="C1" activePane="topRight" state="frozen"/>
      <selection activeCell="K18" sqref="K18"/>
      <selection pane="topRight" activeCell="T21" sqref="T21:U21"/>
    </sheetView>
  </sheetViews>
  <sheetFormatPr defaultColWidth="11.109375" defaultRowHeight="14.4" x14ac:dyDescent="0.3"/>
  <cols>
    <col min="1" max="1" width="9.109375" hidden="1" customWidth="1"/>
    <col min="2" max="3" width="16.44140625" bestFit="1" customWidth="1"/>
    <col min="4" max="4" width="11.5546875" bestFit="1" customWidth="1"/>
    <col min="5" max="5" width="27.33203125" customWidth="1"/>
    <col min="6" max="6" width="17.109375" customWidth="1"/>
    <col min="7" max="8" width="17.109375" bestFit="1" customWidth="1"/>
    <col min="10" max="10" width="23.6640625" customWidth="1"/>
    <col min="11" max="11" width="14.109375" customWidth="1"/>
    <col min="13" max="13" width="23.6640625" customWidth="1"/>
    <col min="15" max="15" width="23.6640625" customWidth="1"/>
    <col min="16" max="16" width="13.33203125" customWidth="1"/>
    <col min="18" max="18" width="23.6640625" customWidth="1"/>
    <col min="20" max="20" width="23.6640625" customWidth="1"/>
    <col min="21" max="21" width="16.33203125" customWidth="1"/>
    <col min="23" max="23" width="23.6640625" customWidth="1"/>
    <col min="25" max="25" width="23.6640625" customWidth="1"/>
    <col min="28" max="28" width="23.6640625" customWidth="1"/>
    <col min="30" max="30" width="23.6640625" customWidth="1"/>
    <col min="33" max="33" width="23.6640625" customWidth="1"/>
    <col min="35" max="35" width="23.6640625" customWidth="1"/>
    <col min="38" max="38" width="23.6640625" customWidth="1"/>
    <col min="40" max="40" width="23.6640625" customWidth="1"/>
    <col min="43" max="43" width="23.6640625" customWidth="1"/>
  </cols>
  <sheetData>
    <row r="1" spans="1:42" x14ac:dyDescent="0.3">
      <c r="C1" s="7"/>
      <c r="D1" s="7"/>
      <c r="E1" s="7"/>
      <c r="F1" s="7"/>
      <c r="G1" s="7"/>
      <c r="H1" s="7"/>
    </row>
    <row r="2" spans="1:42" x14ac:dyDescent="0.3">
      <c r="C2" s="182"/>
      <c r="D2" s="183" t="s">
        <v>251</v>
      </c>
      <c r="E2" s="183"/>
      <c r="F2" s="183"/>
      <c r="G2" s="183"/>
      <c r="H2" s="183"/>
    </row>
    <row r="3" spans="1:42" x14ac:dyDescent="0.3">
      <c r="C3" s="182"/>
      <c r="D3" s="183"/>
      <c r="E3" s="183"/>
      <c r="F3" s="183"/>
      <c r="G3" s="183"/>
      <c r="H3" s="183"/>
    </row>
    <row r="4" spans="1:42" ht="15" thickBot="1" x14ac:dyDescent="0.35">
      <c r="C4" s="182"/>
      <c r="D4" s="183"/>
      <c r="E4" s="183"/>
      <c r="F4" s="183"/>
      <c r="G4" s="183"/>
      <c r="H4" s="183"/>
    </row>
    <row r="5" spans="1:42" ht="4.5" customHeight="1" thickBot="1" x14ac:dyDescent="0.35">
      <c r="C5" s="124"/>
      <c r="D5" s="125"/>
      <c r="E5" s="125"/>
      <c r="F5" s="125"/>
      <c r="G5" s="125"/>
      <c r="H5" s="126"/>
    </row>
    <row r="6" spans="1:42" ht="18" x14ac:dyDescent="0.35">
      <c r="C6" s="38" t="s">
        <v>44</v>
      </c>
      <c r="D6" s="202" t="s">
        <v>51</v>
      </c>
      <c r="E6" s="202"/>
      <c r="F6" s="202" t="s">
        <v>48</v>
      </c>
      <c r="G6" s="202"/>
      <c r="H6" s="39" t="s">
        <v>45</v>
      </c>
    </row>
    <row r="7" spans="1:42" ht="15.6" x14ac:dyDescent="0.3">
      <c r="C7" s="79">
        <f>CoverSheet!B7</f>
        <v>44883</v>
      </c>
      <c r="D7" s="197" t="str">
        <f>CoverSheet!C7</f>
        <v>GR700</v>
      </c>
      <c r="E7" s="197"/>
      <c r="F7" s="197" t="str">
        <f>CoverSheet!E7</f>
        <v>WD-OR-VAC-GR700</v>
      </c>
      <c r="G7" s="197"/>
      <c r="H7" s="80" t="str">
        <f>CoverSheet!G7</f>
        <v>Saba Saba</v>
      </c>
    </row>
    <row r="8" spans="1:42" ht="18" x14ac:dyDescent="0.35">
      <c r="C8" s="198" t="s">
        <v>52</v>
      </c>
      <c r="D8" s="176"/>
      <c r="E8" s="176" t="s">
        <v>53</v>
      </c>
      <c r="F8" s="176"/>
      <c r="G8" s="176" t="s">
        <v>112</v>
      </c>
      <c r="H8" s="204"/>
    </row>
    <row r="9" spans="1:42" ht="15.6" x14ac:dyDescent="0.3">
      <c r="A9" t="str">
        <f>VLOOKUP(C9,Structure_Data!A3:E42,2,FALSE)</f>
        <v>_200AMP</v>
      </c>
      <c r="C9" s="199" t="s">
        <v>92</v>
      </c>
      <c r="D9" s="191"/>
      <c r="E9" s="191" t="s">
        <v>62</v>
      </c>
      <c r="F9" s="191"/>
      <c r="G9" s="191" t="s">
        <v>293</v>
      </c>
      <c r="H9" s="203"/>
    </row>
    <row r="10" spans="1:42" ht="18.600000000000001" thickBot="1" x14ac:dyDescent="0.4">
      <c r="C10" s="52"/>
      <c r="D10" s="200" t="s">
        <v>54</v>
      </c>
      <c r="E10" s="201"/>
      <c r="F10" s="196" t="str">
        <f>CONCATENATE(D7,"",G9)</f>
        <v>GR700P1</v>
      </c>
      <c r="G10" s="196"/>
      <c r="H10" s="40" t="str">
        <f>CoverSheet!G11</f>
        <v>v1.2.1</v>
      </c>
    </row>
    <row r="11" spans="1:42" ht="4.5" customHeight="1" thickBot="1" x14ac:dyDescent="0.4">
      <c r="C11" s="127"/>
      <c r="D11" s="128"/>
      <c r="E11" s="128"/>
      <c r="F11" s="128"/>
      <c r="G11" s="128"/>
      <c r="H11" s="129"/>
    </row>
    <row r="12" spans="1:42" ht="24.75" hidden="1" customHeight="1" thickBot="1" x14ac:dyDescent="0.35">
      <c r="D12" t="s">
        <v>154</v>
      </c>
      <c r="F12" t="s">
        <v>155</v>
      </c>
      <c r="H12" t="s">
        <v>154</v>
      </c>
      <c r="J12" t="s">
        <v>155</v>
      </c>
      <c r="M12" t="s">
        <v>154</v>
      </c>
      <c r="O12" t="s">
        <v>155</v>
      </c>
      <c r="R12" t="s">
        <v>154</v>
      </c>
      <c r="T12" t="s">
        <v>155</v>
      </c>
      <c r="W12" t="s">
        <v>154</v>
      </c>
      <c r="Y12" t="s">
        <v>155</v>
      </c>
      <c r="AB12" t="s">
        <v>154</v>
      </c>
      <c r="AD12" t="s">
        <v>155</v>
      </c>
      <c r="AG12" t="s">
        <v>154</v>
      </c>
      <c r="AI12" t="s">
        <v>155</v>
      </c>
      <c r="AL12" t="s">
        <v>154</v>
      </c>
      <c r="AN12" t="s">
        <v>155</v>
      </c>
    </row>
    <row r="13" spans="1:42" ht="54.6" thickBot="1" x14ac:dyDescent="0.35">
      <c r="A13" t="s">
        <v>55</v>
      </c>
      <c r="B13" s="5" t="s">
        <v>33</v>
      </c>
      <c r="C13" s="6" t="s">
        <v>34</v>
      </c>
      <c r="D13" s="35" t="s">
        <v>35</v>
      </c>
      <c r="E13" s="6" t="s">
        <v>36</v>
      </c>
      <c r="F13" s="36" t="s">
        <v>139</v>
      </c>
      <c r="G13" s="35" t="s">
        <v>35</v>
      </c>
      <c r="H13" s="6" t="s">
        <v>34</v>
      </c>
      <c r="I13" s="35" t="s">
        <v>35</v>
      </c>
      <c r="J13" s="6" t="s">
        <v>37</v>
      </c>
      <c r="K13" s="36" t="s">
        <v>140</v>
      </c>
      <c r="L13" s="35" t="s">
        <v>35</v>
      </c>
      <c r="M13" s="6" t="s">
        <v>34</v>
      </c>
      <c r="N13" s="35" t="s">
        <v>35</v>
      </c>
      <c r="O13" s="6" t="s">
        <v>38</v>
      </c>
      <c r="P13" s="36" t="s">
        <v>141</v>
      </c>
      <c r="Q13" s="35" t="s">
        <v>35</v>
      </c>
      <c r="R13" s="6" t="s">
        <v>34</v>
      </c>
      <c r="S13" s="35" t="s">
        <v>35</v>
      </c>
      <c r="T13" s="6" t="s">
        <v>39</v>
      </c>
      <c r="U13" s="36" t="s">
        <v>142</v>
      </c>
      <c r="V13" s="35" t="s">
        <v>35</v>
      </c>
      <c r="W13" s="6" t="s">
        <v>34</v>
      </c>
      <c r="X13" s="35" t="s">
        <v>35</v>
      </c>
      <c r="Y13" s="6" t="s">
        <v>40</v>
      </c>
      <c r="Z13" s="36" t="s">
        <v>143</v>
      </c>
      <c r="AA13" s="35" t="s">
        <v>35</v>
      </c>
      <c r="AB13" s="6" t="s">
        <v>34</v>
      </c>
      <c r="AC13" s="35" t="s">
        <v>35</v>
      </c>
      <c r="AD13" s="6" t="s">
        <v>41</v>
      </c>
      <c r="AE13" s="36" t="s">
        <v>144</v>
      </c>
      <c r="AF13" s="35" t="s">
        <v>35</v>
      </c>
      <c r="AG13" s="6" t="s">
        <v>34</v>
      </c>
      <c r="AH13" s="35" t="s">
        <v>35</v>
      </c>
      <c r="AI13" s="6" t="s">
        <v>42</v>
      </c>
      <c r="AJ13" s="36" t="s">
        <v>145</v>
      </c>
      <c r="AK13" s="35" t="s">
        <v>35</v>
      </c>
      <c r="AL13" s="6" t="s">
        <v>34</v>
      </c>
      <c r="AM13" s="35" t="s">
        <v>35</v>
      </c>
      <c r="AN13" s="6" t="s">
        <v>43</v>
      </c>
      <c r="AO13" s="36" t="s">
        <v>146</v>
      </c>
      <c r="AP13" s="35" t="s">
        <v>35</v>
      </c>
    </row>
    <row r="14" spans="1:42" ht="15.6" x14ac:dyDescent="0.3">
      <c r="A14" t="str">
        <f>VLOOKUP($E$9,Structure_Data!$E$3:$AZ$35,33,FALSE)</f>
        <v>x</v>
      </c>
      <c r="B14" s="32" t="str">
        <f>IF(A14="x",VLOOKUP($A$9,Structure_Data!$E$3:$AZ$35,33,FALSE),"")</f>
        <v>HAC1</v>
      </c>
      <c r="C14" s="62"/>
      <c r="D14" s="33" t="str">
        <f>IF(C14="","",VLOOKUP(C14,Parts_Data!$L$2:$M$102,2,FALSE))</f>
        <v/>
      </c>
      <c r="E14" s="62" t="s">
        <v>415</v>
      </c>
      <c r="F14" s="66" t="s">
        <v>659</v>
      </c>
      <c r="G14" s="33">
        <f>IF(E14="","",VLOOKUP(E14,Parts_Data!$P$2:$Q$102,2,FALSE))</f>
        <v>64166</v>
      </c>
      <c r="H14" s="62"/>
      <c r="I14" s="33" t="str">
        <f>IF(H14="","",VLOOKUP(H14,Parts_Data!$L$2:$M$102,2,FALSE))</f>
        <v/>
      </c>
      <c r="J14" s="62"/>
      <c r="K14" s="66"/>
      <c r="L14" s="33" t="str">
        <f>IF(J14="","",VLOOKUP(J14,Parts_Data!$P$2:$Q$102,2,FALSE))</f>
        <v/>
      </c>
      <c r="M14" s="62"/>
      <c r="N14" s="33" t="str">
        <f>IF(M14="","",VLOOKUP(M14,Parts_Data!$L$2:$M$102,2,FALSE))</f>
        <v/>
      </c>
      <c r="O14" s="62"/>
      <c r="P14" s="66"/>
      <c r="Q14" s="33" t="str">
        <f>IF(O14="","",VLOOKUP(O14,Parts_Data!$P$2:$Q$102,2,FALSE))</f>
        <v/>
      </c>
      <c r="R14" s="62"/>
      <c r="S14" s="33" t="str">
        <f>IF(R14="","",VLOOKUP(R14,Parts_Data!$L$2:$M$102,2,FALSE))</f>
        <v/>
      </c>
      <c r="T14" s="62"/>
      <c r="U14" s="66"/>
      <c r="V14" s="33" t="str">
        <f>IF(T14="","",VLOOKUP(T14,Parts_Data!$P$2:$Q$102,2,FALSE))</f>
        <v/>
      </c>
      <c r="W14" s="62"/>
      <c r="X14" s="33" t="str">
        <f>IF(W14="","",VLOOKUP(W14,Parts_Data!$L$2:$M$102,2,FALSE))</f>
        <v/>
      </c>
      <c r="Y14" s="62"/>
      <c r="Z14" s="66"/>
      <c r="AA14" s="33" t="str">
        <f>IF(Y14="","",VLOOKUP(Y14,Parts_Data!$P$2:$Q$102,2,FALSE))</f>
        <v/>
      </c>
      <c r="AB14" s="62"/>
      <c r="AC14" s="33" t="str">
        <f>IF(AB14="","",VLOOKUP(AB14,Parts_Data!$L$2:$M$102,2,FALSE))</f>
        <v/>
      </c>
      <c r="AD14" s="62"/>
      <c r="AE14" s="66"/>
      <c r="AF14" s="33" t="str">
        <f>IF(AD14="","",VLOOKUP(AD14,Parts_Data!$P$2:$Q$102,2,FALSE))</f>
        <v/>
      </c>
      <c r="AG14" s="62"/>
      <c r="AH14" s="33" t="str">
        <f>IF(AG14="","",VLOOKUP(AG14,Parts_Data!$L$2:$M$102,2,FALSE))</f>
        <v/>
      </c>
      <c r="AI14" s="62"/>
      <c r="AJ14" s="66"/>
      <c r="AK14" s="33" t="str">
        <f>IF(AI14="","",VLOOKUP(AI14,Parts_Data!$P$2:$Q$102,2,FALSE))</f>
        <v/>
      </c>
      <c r="AL14" s="62"/>
      <c r="AM14" s="33" t="str">
        <f>IF(AL14="","",VLOOKUP(AL14,Parts_Data!$L$2:$M$102,2,FALSE))</f>
        <v/>
      </c>
      <c r="AN14" s="62"/>
      <c r="AO14" s="66"/>
      <c r="AP14" s="33" t="str">
        <f>IF(AN14="","",VLOOKUP(AN14,Parts_Data!$P$2:$Q$102,2,FALSE))</f>
        <v/>
      </c>
    </row>
    <row r="15" spans="1:42" ht="15.6" x14ac:dyDescent="0.3">
      <c r="A15" t="str">
        <f>VLOOKUP($E$9,Structure_Data!$E$3:$AZ$35,34,FALSE)</f>
        <v>x</v>
      </c>
      <c r="B15" s="30" t="str">
        <f>IF(A15="x",VLOOKUP($A$9,Structure_Data!$E$3:$AZ$35,34,FALSE),"")</f>
        <v>HAC2</v>
      </c>
      <c r="C15" s="63"/>
      <c r="D15" s="27" t="str">
        <f>IF(C15="","",VLOOKUP(C15,Parts_Data!$L$2:$M$102,2,FALSE))</f>
        <v/>
      </c>
      <c r="E15" s="63" t="s">
        <v>404</v>
      </c>
      <c r="F15" s="67" t="s">
        <v>664</v>
      </c>
      <c r="G15" s="27">
        <f>IF(E15="","",VLOOKUP(E15,Parts_Data!$P$2:$Q$102,2,FALSE))</f>
        <v>19143</v>
      </c>
      <c r="H15" s="63"/>
      <c r="I15" s="27" t="str">
        <f>IF(H15="","",VLOOKUP(H15,Parts_Data!$L$2:$M$102,2,FALSE))</f>
        <v/>
      </c>
      <c r="J15" s="63" t="s">
        <v>402</v>
      </c>
      <c r="K15" s="67" t="s">
        <v>646</v>
      </c>
      <c r="L15" s="27">
        <f>IF(J15="","",VLOOKUP(J15,Parts_Data!$P$2:$Q$102,2,FALSE))</f>
        <v>11520</v>
      </c>
      <c r="M15" s="63"/>
      <c r="N15" s="27" t="str">
        <f>IF(M15="","",VLOOKUP(M15,Parts_Data!$L$2:$M$102,2,FALSE))</f>
        <v/>
      </c>
      <c r="O15" s="63" t="s">
        <v>402</v>
      </c>
      <c r="P15" s="67" t="s">
        <v>647</v>
      </c>
      <c r="Q15" s="27">
        <f>IF(O15="","",VLOOKUP(O15,Parts_Data!$P$2:$Q$102,2,FALSE))</f>
        <v>11520</v>
      </c>
      <c r="R15" s="63"/>
      <c r="S15" s="27" t="str">
        <f>IF(R15="","",VLOOKUP(R15,Parts_Data!$L$2:$M$102,2,FALSE))</f>
        <v/>
      </c>
      <c r="T15" s="63"/>
      <c r="U15" s="67"/>
      <c r="V15" s="27" t="str">
        <f>IF(T15="","",VLOOKUP(T15,Parts_Data!$P$2:$Q$102,2,FALSE))</f>
        <v/>
      </c>
      <c r="W15" s="63"/>
      <c r="X15" s="27" t="str">
        <f>IF(W15="","",VLOOKUP(W15,Parts_Data!$L$2:$M$102,2,FALSE))</f>
        <v/>
      </c>
      <c r="Y15" s="63"/>
      <c r="Z15" s="67"/>
      <c r="AA15" s="27" t="str">
        <f>IF(Y15="","",VLOOKUP(Y15,Parts_Data!$P$2:$Q$102,2,FALSE))</f>
        <v/>
      </c>
      <c r="AB15" s="63"/>
      <c r="AC15" s="27" t="str">
        <f>IF(AB15="","",VLOOKUP(AB15,Parts_Data!$L$2:$M$102,2,FALSE))</f>
        <v/>
      </c>
      <c r="AD15" s="63"/>
      <c r="AE15" s="67"/>
      <c r="AF15" s="27" t="str">
        <f>IF(AD15="","",VLOOKUP(AD15,Parts_Data!$P$2:$Q$102,2,FALSE))</f>
        <v/>
      </c>
      <c r="AG15" s="63"/>
      <c r="AH15" s="27" t="str">
        <f>IF(AG15="","",VLOOKUP(AG15,Parts_Data!$L$2:$M$102,2,FALSE))</f>
        <v/>
      </c>
      <c r="AI15" s="63"/>
      <c r="AJ15" s="67"/>
      <c r="AK15" s="27" t="str">
        <f>IF(AI15="","",VLOOKUP(AI15,Parts_Data!$P$2:$Q$102,2,FALSE))</f>
        <v/>
      </c>
      <c r="AL15" s="63"/>
      <c r="AM15" s="27" t="str">
        <f>IF(AL15="","",VLOOKUP(AL15,Parts_Data!$L$2:$M$102,2,FALSE))</f>
        <v/>
      </c>
      <c r="AN15" s="63"/>
      <c r="AO15" s="67"/>
      <c r="AP15" s="27" t="str">
        <f>IF(AN15="","",VLOOKUP(AN15,Parts_Data!$P$2:$Q$102,2,FALSE))</f>
        <v/>
      </c>
    </row>
    <row r="16" spans="1:42" ht="15.6" x14ac:dyDescent="0.3">
      <c r="A16" t="str">
        <f>VLOOKUP($E$9,Structure_Data!$E$3:$AZ$35,35,FALSE)</f>
        <v>x</v>
      </c>
      <c r="B16" s="30" t="str">
        <f>IF(A16="x",VLOOKUP($A$9,Structure_Data!$E$3:$AZ$35,35,FALSE),"")</f>
        <v>HAC3</v>
      </c>
      <c r="C16" s="64"/>
      <c r="D16" s="26" t="str">
        <f>IF(C16="","",VLOOKUP(C16,Parts_Data!$L$2:$M$102,2,FALSE))</f>
        <v/>
      </c>
      <c r="E16" s="64" t="s">
        <v>407</v>
      </c>
      <c r="F16" s="68" t="s">
        <v>648</v>
      </c>
      <c r="G16" s="26" t="str">
        <f>IF(E16="","",VLOOKUP(E16,Parts_Data!$P$2:$Q$102,2,FALSE))</f>
        <v>GF15LA</v>
      </c>
      <c r="H16" s="64"/>
      <c r="I16" s="26" t="str">
        <f>IF(H16="","",VLOOKUP(H16,Parts_Data!$L$2:$M$102,2,FALSE))</f>
        <v/>
      </c>
      <c r="J16" s="64"/>
      <c r="K16" s="68"/>
      <c r="L16" s="26" t="str">
        <f>IF(J16="","",VLOOKUP(J16,Parts_Data!$P$2:$Q$102,2,FALSE))</f>
        <v/>
      </c>
      <c r="M16" s="64"/>
      <c r="N16" s="26" t="str">
        <f>IF(M16="","",VLOOKUP(M16,Parts_Data!$L$2:$M$102,2,FALSE))</f>
        <v/>
      </c>
      <c r="O16" s="64"/>
      <c r="P16" s="68"/>
      <c r="Q16" s="26" t="str">
        <f>IF(O16="","",VLOOKUP(O16,Parts_Data!$P$2:$Q$102,2,FALSE))</f>
        <v/>
      </c>
      <c r="R16" s="64"/>
      <c r="S16" s="26" t="str">
        <f>IF(R16="","",VLOOKUP(R16,Parts_Data!$L$2:$M$102,2,FALSE))</f>
        <v/>
      </c>
      <c r="T16" s="64"/>
      <c r="U16" s="68"/>
      <c r="V16" s="26" t="str">
        <f>IF(T16="","",VLOOKUP(T16,Parts_Data!$P$2:$Q$102,2,FALSE))</f>
        <v/>
      </c>
      <c r="W16" s="64"/>
      <c r="X16" s="26" t="str">
        <f>IF(W16="","",VLOOKUP(W16,Parts_Data!$L$2:$M$102,2,FALSE))</f>
        <v/>
      </c>
      <c r="Y16" s="64"/>
      <c r="Z16" s="68"/>
      <c r="AA16" s="26" t="str">
        <f>IF(Y16="","",VLOOKUP(Y16,Parts_Data!$P$2:$Q$102,2,FALSE))</f>
        <v/>
      </c>
      <c r="AB16" s="64"/>
      <c r="AC16" s="26" t="str">
        <f>IF(AB16="","",VLOOKUP(AB16,Parts_Data!$L$2:$M$102,2,FALSE))</f>
        <v/>
      </c>
      <c r="AD16" s="64"/>
      <c r="AE16" s="68"/>
      <c r="AF16" s="26" t="str">
        <f>IF(AD16="","",VLOOKUP(AD16,Parts_Data!$P$2:$Q$102,2,FALSE))</f>
        <v/>
      </c>
      <c r="AG16" s="64"/>
      <c r="AH16" s="26" t="str">
        <f>IF(AG16="","",VLOOKUP(AG16,Parts_Data!$L$2:$M$102,2,FALSE))</f>
        <v/>
      </c>
      <c r="AI16" s="64"/>
      <c r="AJ16" s="68"/>
      <c r="AK16" s="26" t="str">
        <f>IF(AI16="","",VLOOKUP(AI16,Parts_Data!$P$2:$Q$102,2,FALSE))</f>
        <v/>
      </c>
      <c r="AL16" s="64"/>
      <c r="AM16" s="26" t="str">
        <f>IF(AL16="","",VLOOKUP(AL16,Parts_Data!$L$2:$M$102,2,FALSE))</f>
        <v/>
      </c>
      <c r="AN16" s="64"/>
      <c r="AO16" s="68"/>
      <c r="AP16" s="26" t="str">
        <f>IF(AN16="","",VLOOKUP(AN16,Parts_Data!$P$2:$Q$102,2,FALSE))</f>
        <v/>
      </c>
    </row>
    <row r="17" spans="1:42" ht="15.6" x14ac:dyDescent="0.3">
      <c r="A17" t="str">
        <f>VLOOKUP($E$9,Structure_Data!$E$3:$AZ$35,36,FALSE)</f>
        <v>x</v>
      </c>
      <c r="B17" s="30" t="str">
        <f>IF(A17="x",VLOOKUP($A$9,Structure_Data!$E$3:$AZ$35,36,FALSE),"")</f>
        <v>HAC4</v>
      </c>
      <c r="C17" s="63"/>
      <c r="D17" s="27" t="str">
        <f>IF(C17="","",VLOOKUP(C17,Parts_Data!$L$2:$M$102,2,FALSE))</f>
        <v/>
      </c>
      <c r="E17" s="63" t="s">
        <v>405</v>
      </c>
      <c r="F17" s="67" t="s">
        <v>649</v>
      </c>
      <c r="G17" s="27">
        <f>IF(E17="","",VLOOKUP(E17,Parts_Data!$P$2:$Q$102,2,FALSE))</f>
        <v>15870</v>
      </c>
      <c r="H17" s="63"/>
      <c r="I17" s="27" t="str">
        <f>IF(H17="","",VLOOKUP(H17,Parts_Data!$L$2:$M$102,2,FALSE))</f>
        <v/>
      </c>
      <c r="J17" s="63"/>
      <c r="K17" s="67"/>
      <c r="L17" s="27" t="str">
        <f>IF(J17="","",VLOOKUP(J17,Parts_Data!$P$2:$Q$102,2,FALSE))</f>
        <v/>
      </c>
      <c r="M17" s="63"/>
      <c r="N17" s="27" t="str">
        <f>IF(M17="","",VLOOKUP(M17,Parts_Data!$L$2:$M$102,2,FALSE))</f>
        <v/>
      </c>
      <c r="O17" s="63"/>
      <c r="P17" s="67"/>
      <c r="Q17" s="27" t="str">
        <f>IF(O17="","",VLOOKUP(O17,Parts_Data!$P$2:$Q$102,2,FALSE))</f>
        <v/>
      </c>
      <c r="R17" s="63"/>
      <c r="S17" s="27" t="str">
        <f>IF(R17="","",VLOOKUP(R17,Parts_Data!$L$2:$M$102,2,FALSE))</f>
        <v/>
      </c>
      <c r="T17" s="63"/>
      <c r="U17" s="67"/>
      <c r="V17" s="27" t="str">
        <f>IF(T17="","",VLOOKUP(T17,Parts_Data!$P$2:$Q$102,2,FALSE))</f>
        <v/>
      </c>
      <c r="W17" s="63"/>
      <c r="X17" s="27" t="str">
        <f>IF(W17="","",VLOOKUP(W17,Parts_Data!$L$2:$M$102,2,FALSE))</f>
        <v/>
      </c>
      <c r="Y17" s="63"/>
      <c r="Z17" s="67"/>
      <c r="AA17" s="27" t="str">
        <f>IF(Y17="","",VLOOKUP(Y17,Parts_Data!$P$2:$Q$102,2,FALSE))</f>
        <v/>
      </c>
      <c r="AB17" s="63"/>
      <c r="AC17" s="27" t="str">
        <f>IF(AB17="","",VLOOKUP(AB17,Parts_Data!$L$2:$M$102,2,FALSE))</f>
        <v/>
      </c>
      <c r="AD17" s="63"/>
      <c r="AE17" s="67"/>
      <c r="AF17" s="27" t="str">
        <f>IF(AD17="","",VLOOKUP(AD17,Parts_Data!$P$2:$Q$102,2,FALSE))</f>
        <v/>
      </c>
      <c r="AG17" s="63"/>
      <c r="AH17" s="27" t="str">
        <f>IF(AG17="","",VLOOKUP(AG17,Parts_Data!$L$2:$M$102,2,FALSE))</f>
        <v/>
      </c>
      <c r="AI17" s="63"/>
      <c r="AJ17" s="67"/>
      <c r="AK17" s="27" t="str">
        <f>IF(AI17="","",VLOOKUP(AI17,Parts_Data!$P$2:$Q$102,2,FALSE))</f>
        <v/>
      </c>
      <c r="AL17" s="63"/>
      <c r="AM17" s="27" t="str">
        <f>IF(AL17="","",VLOOKUP(AL17,Parts_Data!$L$2:$M$102,2,FALSE))</f>
        <v/>
      </c>
      <c r="AN17" s="63"/>
      <c r="AO17" s="67"/>
      <c r="AP17" s="27" t="str">
        <f>IF(AN17="","",VLOOKUP(AN17,Parts_Data!$P$2:$Q$102,2,FALSE))</f>
        <v/>
      </c>
    </row>
    <row r="18" spans="1:42" ht="15.6" x14ac:dyDescent="0.3">
      <c r="A18" t="str">
        <f>VLOOKUP($E$9,Structure_Data!$E$3:$AZ$35,37,FALSE)</f>
        <v>x</v>
      </c>
      <c r="B18" s="30" t="str">
        <f>IF(A18="x",VLOOKUP($A$9,Structure_Data!$E$3:$AZ$35,37,FALSE),"")</f>
        <v>HAC5</v>
      </c>
      <c r="C18" s="64"/>
      <c r="D18" s="26" t="str">
        <f>IF(C18="","",VLOOKUP(C18,Parts_Data!$L$2:$M$102,2,FALSE))</f>
        <v/>
      </c>
      <c r="E18" s="64" t="s">
        <v>405</v>
      </c>
      <c r="F18" s="68" t="s">
        <v>649</v>
      </c>
      <c r="G18" s="26">
        <f>IF(E18="","",VLOOKUP(E18,Parts_Data!$P$2:$Q$102,2,FALSE))</f>
        <v>15870</v>
      </c>
      <c r="H18" s="64"/>
      <c r="I18" s="26" t="str">
        <f>IF(H18="","",VLOOKUP(H18,Parts_Data!$L$2:$M$102,2,FALSE))</f>
        <v/>
      </c>
      <c r="J18" s="64"/>
      <c r="K18" s="68"/>
      <c r="L18" s="26" t="str">
        <f>IF(J18="","",VLOOKUP(J18,Parts_Data!$P$2:$Q$102,2,FALSE))</f>
        <v/>
      </c>
      <c r="M18" s="64"/>
      <c r="N18" s="26" t="str">
        <f>IF(M18="","",VLOOKUP(M18,Parts_Data!$L$2:$M$102,2,FALSE))</f>
        <v/>
      </c>
      <c r="O18" s="64"/>
      <c r="P18" s="68"/>
      <c r="Q18" s="26" t="str">
        <f>IF(O18="","",VLOOKUP(O18,Parts_Data!$P$2:$Q$102,2,FALSE))</f>
        <v/>
      </c>
      <c r="R18" s="64"/>
      <c r="S18" s="26" t="str">
        <f>IF(R18="","",VLOOKUP(R18,Parts_Data!$L$2:$M$102,2,FALSE))</f>
        <v/>
      </c>
      <c r="T18" s="64"/>
      <c r="U18" s="68"/>
      <c r="V18" s="26" t="str">
        <f>IF(T18="","",VLOOKUP(T18,Parts_Data!$P$2:$Q$102,2,FALSE))</f>
        <v/>
      </c>
      <c r="W18" s="64"/>
      <c r="X18" s="26" t="str">
        <f>IF(W18="","",VLOOKUP(W18,Parts_Data!$L$2:$M$102,2,FALSE))</f>
        <v/>
      </c>
      <c r="Y18" s="64"/>
      <c r="Z18" s="68"/>
      <c r="AA18" s="26" t="str">
        <f>IF(Y18="","",VLOOKUP(Y18,Parts_Data!$P$2:$Q$102,2,FALSE))</f>
        <v/>
      </c>
      <c r="AB18" s="64"/>
      <c r="AC18" s="26" t="str">
        <f>IF(AB18="","",VLOOKUP(AB18,Parts_Data!$L$2:$M$102,2,FALSE))</f>
        <v/>
      </c>
      <c r="AD18" s="64"/>
      <c r="AE18" s="68"/>
      <c r="AF18" s="26" t="str">
        <f>IF(AD18="","",VLOOKUP(AD18,Parts_Data!$P$2:$Q$102,2,FALSE))</f>
        <v/>
      </c>
      <c r="AG18" s="64"/>
      <c r="AH18" s="26" t="str">
        <f>IF(AG18="","",VLOOKUP(AG18,Parts_Data!$L$2:$M$102,2,FALSE))</f>
        <v/>
      </c>
      <c r="AI18" s="64"/>
      <c r="AJ18" s="68"/>
      <c r="AK18" s="26" t="str">
        <f>IF(AI18="","",VLOOKUP(AI18,Parts_Data!$P$2:$Q$102,2,FALSE))</f>
        <v/>
      </c>
      <c r="AL18" s="64"/>
      <c r="AM18" s="26" t="str">
        <f>IF(AL18="","",VLOOKUP(AL18,Parts_Data!$L$2:$M$102,2,FALSE))</f>
        <v/>
      </c>
      <c r="AN18" s="64"/>
      <c r="AO18" s="68"/>
      <c r="AP18" s="26" t="str">
        <f>IF(AN18="","",VLOOKUP(AN18,Parts_Data!$P$2:$Q$102,2,FALSE))</f>
        <v/>
      </c>
    </row>
    <row r="19" spans="1:42" ht="15.6" x14ac:dyDescent="0.3">
      <c r="A19" t="str">
        <f>VLOOKUP($E$9,Structure_Data!$E$3:$AZ$35,38,FALSE)</f>
        <v>x</v>
      </c>
      <c r="B19" s="30" t="str">
        <f>IF(A19="x",VLOOKUP($A$9,Structure_Data!$E$3:$AZ$35,38,FALSE),"")</f>
        <v>HAC6</v>
      </c>
      <c r="C19" s="63"/>
      <c r="D19" s="27" t="str">
        <f>IF(C19="","",VLOOKUP(C19,Parts_Data!$L$2:$M$102,2,FALSE))</f>
        <v/>
      </c>
      <c r="E19" s="63" t="s">
        <v>405</v>
      </c>
      <c r="F19" s="67" t="s">
        <v>649</v>
      </c>
      <c r="G19" s="27">
        <f>IF(E19="","",VLOOKUP(E19,Parts_Data!$P$2:$Q$102,2,FALSE))</f>
        <v>15870</v>
      </c>
      <c r="H19" s="63"/>
      <c r="I19" s="27" t="str">
        <f>IF(H19="","",VLOOKUP(H19,Parts_Data!$L$2:$M$102,2,FALSE))</f>
        <v/>
      </c>
      <c r="J19" s="63"/>
      <c r="K19" s="67"/>
      <c r="L19" s="27" t="str">
        <f>IF(J19="","",VLOOKUP(J19,Parts_Data!$P$2:$Q$102,2,FALSE))</f>
        <v/>
      </c>
      <c r="M19" s="63"/>
      <c r="N19" s="27" t="str">
        <f>IF(M19="","",VLOOKUP(M19,Parts_Data!$L$2:$M$102,2,FALSE))</f>
        <v/>
      </c>
      <c r="O19" s="63"/>
      <c r="P19" s="67"/>
      <c r="Q19" s="27" t="str">
        <f>IF(O19="","",VLOOKUP(O19,Parts_Data!$P$2:$Q$102,2,FALSE))</f>
        <v/>
      </c>
      <c r="R19" s="63"/>
      <c r="S19" s="27" t="str">
        <f>IF(R19="","",VLOOKUP(R19,Parts_Data!$L$2:$M$102,2,FALSE))</f>
        <v/>
      </c>
      <c r="T19" s="63"/>
      <c r="U19" s="67"/>
      <c r="V19" s="27" t="str">
        <f>IF(T19="","",VLOOKUP(T19,Parts_Data!$P$2:$Q$102,2,FALSE))</f>
        <v/>
      </c>
      <c r="W19" s="63"/>
      <c r="X19" s="27" t="str">
        <f>IF(W19="","",VLOOKUP(W19,Parts_Data!$L$2:$M$102,2,FALSE))</f>
        <v/>
      </c>
      <c r="Y19" s="63"/>
      <c r="Z19" s="67"/>
      <c r="AA19" s="27" t="str">
        <f>IF(Y19="","",VLOOKUP(Y19,Parts_Data!$P$2:$Q$102,2,FALSE))</f>
        <v/>
      </c>
      <c r="AB19" s="63"/>
      <c r="AC19" s="27" t="str">
        <f>IF(AB19="","",VLOOKUP(AB19,Parts_Data!$L$2:$M$102,2,FALSE))</f>
        <v/>
      </c>
      <c r="AD19" s="63"/>
      <c r="AE19" s="67"/>
      <c r="AF19" s="27" t="str">
        <f>IF(AD19="","",VLOOKUP(AD19,Parts_Data!$P$2:$Q$102,2,FALSE))</f>
        <v/>
      </c>
      <c r="AG19" s="63"/>
      <c r="AH19" s="27" t="str">
        <f>IF(AG19="","",VLOOKUP(AG19,Parts_Data!$L$2:$M$102,2,FALSE))</f>
        <v/>
      </c>
      <c r="AI19" s="63"/>
      <c r="AJ19" s="67"/>
      <c r="AK19" s="27" t="str">
        <f>IF(AI19="","",VLOOKUP(AI19,Parts_Data!$P$2:$Q$102,2,FALSE))</f>
        <v/>
      </c>
      <c r="AL19" s="63"/>
      <c r="AM19" s="27" t="str">
        <f>IF(AL19="","",VLOOKUP(AL19,Parts_Data!$L$2:$M$102,2,FALSE))</f>
        <v/>
      </c>
      <c r="AN19" s="63"/>
      <c r="AO19" s="67"/>
      <c r="AP19" s="27" t="str">
        <f>IF(AN19="","",VLOOKUP(AN19,Parts_Data!$P$2:$Q$102,2,FALSE))</f>
        <v/>
      </c>
    </row>
    <row r="20" spans="1:42" ht="15.6" x14ac:dyDescent="0.3">
      <c r="A20">
        <f>VLOOKUP($E$9,Structure_Data!$E$3:$AZ$35,39,FALSE)</f>
        <v>0</v>
      </c>
      <c r="B20" s="30" t="str">
        <f>IF(A20="x",VLOOKUP($A$9,Structure_Data!$E$3:$AZ$35,39,FALSE),"")</f>
        <v/>
      </c>
      <c r="C20" s="64"/>
      <c r="D20" s="26" t="str">
        <f>IF(C20="","",VLOOKUP(C20,Parts_Data!$L$2:$M$102,2,FALSE))</f>
        <v/>
      </c>
      <c r="E20" s="64"/>
      <c r="F20" s="68"/>
      <c r="G20" s="26" t="str">
        <f>IF(E20="","",VLOOKUP(E20,Parts_Data!$P$2:$Q$102,2,FALSE))</f>
        <v/>
      </c>
      <c r="H20" s="64"/>
      <c r="I20" s="26" t="str">
        <f>IF(H20="","",VLOOKUP(H20,Parts_Data!$L$2:$M$102,2,FALSE))</f>
        <v/>
      </c>
      <c r="J20" s="64"/>
      <c r="K20" s="68"/>
      <c r="L20" s="26" t="str">
        <f>IF(J20="","",VLOOKUP(J20,Parts_Data!$P$2:$Q$102,2,FALSE))</f>
        <v/>
      </c>
      <c r="M20" s="64"/>
      <c r="N20" s="26" t="str">
        <f>IF(M20="","",VLOOKUP(M20,Parts_Data!$L$2:$M$102,2,FALSE))</f>
        <v/>
      </c>
      <c r="O20" s="64"/>
      <c r="P20" s="68"/>
      <c r="Q20" s="26" t="str">
        <f>IF(O20="","",VLOOKUP(O20,Parts_Data!$P$2:$Q$102,2,FALSE))</f>
        <v/>
      </c>
      <c r="R20" s="64"/>
      <c r="S20" s="26" t="str">
        <f>IF(R20="","",VLOOKUP(R20,Parts_Data!$L$2:$M$102,2,FALSE))</f>
        <v/>
      </c>
      <c r="T20" s="64"/>
      <c r="U20" s="68"/>
      <c r="V20" s="26" t="str">
        <f>IF(T20="","",VLOOKUP(T20,Parts_Data!$P$2:$Q$102,2,FALSE))</f>
        <v/>
      </c>
      <c r="W20" s="64"/>
      <c r="X20" s="26" t="str">
        <f>IF(W20="","",VLOOKUP(W20,Parts_Data!$L$2:$M$102,2,FALSE))</f>
        <v/>
      </c>
      <c r="Y20" s="64"/>
      <c r="Z20" s="68"/>
      <c r="AA20" s="26" t="str">
        <f>IF(Y20="","",VLOOKUP(Y20,Parts_Data!$P$2:$Q$102,2,FALSE))</f>
        <v/>
      </c>
      <c r="AB20" s="64"/>
      <c r="AC20" s="26" t="str">
        <f>IF(AB20="","",VLOOKUP(AB20,Parts_Data!$L$2:$M$102,2,FALSE))</f>
        <v/>
      </c>
      <c r="AD20" s="64"/>
      <c r="AE20" s="68"/>
      <c r="AF20" s="26" t="str">
        <f>IF(AD20="","",VLOOKUP(AD20,Parts_Data!$P$2:$Q$102,2,FALSE))</f>
        <v/>
      </c>
      <c r="AG20" s="64"/>
      <c r="AH20" s="26" t="str">
        <f>IF(AG20="","",VLOOKUP(AG20,Parts_Data!$L$2:$M$102,2,FALSE))</f>
        <v/>
      </c>
      <c r="AI20" s="64"/>
      <c r="AJ20" s="68"/>
      <c r="AK20" s="26" t="str">
        <f>IF(AI20="","",VLOOKUP(AI20,Parts_Data!$P$2:$Q$102,2,FALSE))</f>
        <v/>
      </c>
      <c r="AL20" s="64"/>
      <c r="AM20" s="26" t="str">
        <f>IF(AL20="","",VLOOKUP(AL20,Parts_Data!$L$2:$M$102,2,FALSE))</f>
        <v/>
      </c>
      <c r="AN20" s="64"/>
      <c r="AO20" s="68"/>
      <c r="AP20" s="26" t="str">
        <f>IF(AN20="","",VLOOKUP(AN20,Parts_Data!$P$2:$Q$102,2,FALSE))</f>
        <v/>
      </c>
    </row>
    <row r="21" spans="1:42" ht="15.6" x14ac:dyDescent="0.3">
      <c r="A21" t="str">
        <f>VLOOKUP($E$9,Structure_Data!$E$3:$AZ$35,40,FALSE)</f>
        <v>x</v>
      </c>
      <c r="B21" s="30" t="str">
        <f>IF(A21="x",VLOOKUP($A$9,Structure_Data!$E$3:$AZ$35,40,FALSE),"")</f>
        <v>AC1</v>
      </c>
      <c r="C21" s="63"/>
      <c r="D21" s="27" t="str">
        <f>IF(C21="","",VLOOKUP(C21,Parts_Data!$L$2:$M$102,2,FALSE))</f>
        <v/>
      </c>
      <c r="E21" s="63" t="s">
        <v>413</v>
      </c>
      <c r="F21" s="67" t="s">
        <v>665</v>
      </c>
      <c r="G21" s="27">
        <f>IF(E21="","",VLOOKUP(E21,Parts_Data!$P$2:$Q$102,2,FALSE))</f>
        <v>19139</v>
      </c>
      <c r="H21" s="63"/>
      <c r="I21" s="27" t="str">
        <f>IF(H21="","",VLOOKUP(H21,Parts_Data!$L$2:$M$102,2,FALSE))</f>
        <v/>
      </c>
      <c r="J21" s="63" t="s">
        <v>402</v>
      </c>
      <c r="K21" s="67" t="s">
        <v>650</v>
      </c>
      <c r="L21" s="27">
        <f>IF(J21="","",VLOOKUP(J21,Parts_Data!$P$2:$Q$102,2,FALSE))</f>
        <v>11520</v>
      </c>
      <c r="M21" s="63"/>
      <c r="N21" s="27" t="str">
        <f>IF(M21="","",VLOOKUP(M21,Parts_Data!$L$2:$M$102,2,FALSE))</f>
        <v/>
      </c>
      <c r="O21" s="63"/>
      <c r="P21" s="67"/>
      <c r="Q21" s="27" t="str">
        <f>IF(O21="","",VLOOKUP(O21,Parts_Data!$P$2:$Q$102,2,FALSE))</f>
        <v/>
      </c>
      <c r="R21" s="63"/>
      <c r="S21" s="27" t="str">
        <f>IF(R21="","",VLOOKUP(R21,Parts_Data!$L$2:$M$102,2,FALSE))</f>
        <v/>
      </c>
      <c r="T21" s="63"/>
      <c r="U21" s="67"/>
      <c r="V21" s="27" t="str">
        <f>IF(T21="","",VLOOKUP(T21,Parts_Data!$P$2:$Q$102,2,FALSE))</f>
        <v/>
      </c>
      <c r="W21" s="63"/>
      <c r="X21" s="27" t="str">
        <f>IF(W21="","",VLOOKUP(W21,Parts_Data!$L$2:$M$102,2,FALSE))</f>
        <v/>
      </c>
      <c r="Y21" s="63"/>
      <c r="Z21" s="67"/>
      <c r="AA21" s="27" t="str">
        <f>IF(Y21="","",VLOOKUP(Y21,Parts_Data!$P$2:$Q$102,2,FALSE))</f>
        <v/>
      </c>
      <c r="AB21" s="63"/>
      <c r="AC21" s="27" t="str">
        <f>IF(AB21="","",VLOOKUP(AB21,Parts_Data!$L$2:$M$102,2,FALSE))</f>
        <v/>
      </c>
      <c r="AD21" s="63"/>
      <c r="AE21" s="67"/>
      <c r="AF21" s="27" t="str">
        <f>IF(AD21="","",VLOOKUP(AD21,Parts_Data!$P$2:$Q$102,2,FALSE))</f>
        <v/>
      </c>
      <c r="AG21" s="63"/>
      <c r="AH21" s="27" t="str">
        <f>IF(AG21="","",VLOOKUP(AG21,Parts_Data!$L$2:$M$102,2,FALSE))</f>
        <v/>
      </c>
      <c r="AI21" s="63"/>
      <c r="AJ21" s="67"/>
      <c r="AK21" s="27" t="str">
        <f>IF(AI21="","",VLOOKUP(AI21,Parts_Data!$P$2:$Q$102,2,FALSE))</f>
        <v/>
      </c>
      <c r="AL21" s="63"/>
      <c r="AM21" s="27" t="str">
        <f>IF(AL21="","",VLOOKUP(AL21,Parts_Data!$L$2:$M$102,2,FALSE))</f>
        <v/>
      </c>
      <c r="AN21" s="63"/>
      <c r="AO21" s="67"/>
      <c r="AP21" s="27" t="str">
        <f>IF(AN21="","",VLOOKUP(AN21,Parts_Data!$P$2:$Q$102,2,FALSE))</f>
        <v/>
      </c>
    </row>
    <row r="22" spans="1:42" ht="15.6" x14ac:dyDescent="0.3">
      <c r="A22" t="str">
        <f>VLOOKUP($E$9,Structure_Data!$E$3:$AZ$35,41,FALSE)</f>
        <v>x</v>
      </c>
      <c r="B22" s="30" t="str">
        <f>IF(A22="x",VLOOKUP($A$9,Structure_Data!$E$3:$AZ$35,41,FALSE),"")</f>
        <v>AC2</v>
      </c>
      <c r="C22" s="64"/>
      <c r="D22" s="26" t="str">
        <f>IF(C22="","",VLOOKUP(C22,Parts_Data!$L$2:$M$102,2,FALSE))</f>
        <v/>
      </c>
      <c r="E22" s="64" t="s">
        <v>405</v>
      </c>
      <c r="F22" s="68" t="s">
        <v>649</v>
      </c>
      <c r="G22" s="26">
        <f>IF(E22="","",VLOOKUP(E22,Parts_Data!$P$2:$Q$102,2,FALSE))</f>
        <v>15870</v>
      </c>
      <c r="H22" s="64"/>
      <c r="I22" s="26" t="str">
        <f>IF(H22="","",VLOOKUP(H22,Parts_Data!$L$2:$M$102,2,FALSE))</f>
        <v/>
      </c>
      <c r="J22" s="64"/>
      <c r="K22" s="68"/>
      <c r="L22" s="26" t="str">
        <f>IF(J22="","",VLOOKUP(J22,Parts_Data!$P$2:$Q$102,2,FALSE))</f>
        <v/>
      </c>
      <c r="M22" s="64"/>
      <c r="N22" s="26" t="str">
        <f>IF(M22="","",VLOOKUP(M22,Parts_Data!$L$2:$M$102,2,FALSE))</f>
        <v/>
      </c>
      <c r="O22" s="64"/>
      <c r="P22" s="68"/>
      <c r="Q22" s="26" t="str">
        <f>IF(O22="","",VLOOKUP(O22,Parts_Data!$P$2:$Q$102,2,FALSE))</f>
        <v/>
      </c>
      <c r="R22" s="64"/>
      <c r="S22" s="26" t="str">
        <f>IF(R22="","",VLOOKUP(R22,Parts_Data!$L$2:$M$102,2,FALSE))</f>
        <v/>
      </c>
      <c r="T22" s="64"/>
      <c r="U22" s="68"/>
      <c r="V22" s="26" t="str">
        <f>IF(T22="","",VLOOKUP(T22,Parts_Data!$P$2:$Q$102,2,FALSE))</f>
        <v/>
      </c>
      <c r="W22" s="64"/>
      <c r="X22" s="26" t="str">
        <f>IF(W22="","",VLOOKUP(W22,Parts_Data!$L$2:$M$102,2,FALSE))</f>
        <v/>
      </c>
      <c r="Y22" s="64"/>
      <c r="Z22" s="68"/>
      <c r="AA22" s="26" t="str">
        <f>IF(Y22="","",VLOOKUP(Y22,Parts_Data!$P$2:$Q$102,2,FALSE))</f>
        <v/>
      </c>
      <c r="AB22" s="64"/>
      <c r="AC22" s="26" t="str">
        <f>IF(AB22="","",VLOOKUP(AB22,Parts_Data!$L$2:$M$102,2,FALSE))</f>
        <v/>
      </c>
      <c r="AD22" s="64"/>
      <c r="AE22" s="68"/>
      <c r="AF22" s="26" t="str">
        <f>IF(AD22="","",VLOOKUP(AD22,Parts_Data!$P$2:$Q$102,2,FALSE))</f>
        <v/>
      </c>
      <c r="AG22" s="64"/>
      <c r="AH22" s="26" t="str">
        <f>IF(AG22="","",VLOOKUP(AG22,Parts_Data!$L$2:$M$102,2,FALSE))</f>
        <v/>
      </c>
      <c r="AI22" s="64"/>
      <c r="AJ22" s="68"/>
      <c r="AK22" s="26" t="str">
        <f>IF(AI22="","",VLOOKUP(AI22,Parts_Data!$P$2:$Q$102,2,FALSE))</f>
        <v/>
      </c>
      <c r="AL22" s="64"/>
      <c r="AM22" s="26" t="str">
        <f>IF(AL22="","",VLOOKUP(AL22,Parts_Data!$L$2:$M$102,2,FALSE))</f>
        <v/>
      </c>
      <c r="AN22" s="64"/>
      <c r="AO22" s="68"/>
      <c r="AP22" s="26" t="str">
        <f>IF(AN22="","",VLOOKUP(AN22,Parts_Data!$P$2:$Q$102,2,FALSE))</f>
        <v/>
      </c>
    </row>
    <row r="23" spans="1:42" ht="15.6" x14ac:dyDescent="0.3">
      <c r="A23" t="str">
        <f>VLOOKUP($E$9,Structure_Data!$E$3:$AZ$35,42,FALSE)</f>
        <v>x</v>
      </c>
      <c r="B23" s="30" t="str">
        <f>IF(A23="x",VLOOKUP($A$9,Structure_Data!$E$3:$AZ$35,42,FALSE),"")</f>
        <v>AC3</v>
      </c>
      <c r="C23" s="63"/>
      <c r="D23" s="27" t="str">
        <f>IF(C23="","",VLOOKUP(C23,Parts_Data!$L$2:$M$102,2,FALSE))</f>
        <v/>
      </c>
      <c r="E23" s="63" t="s">
        <v>405</v>
      </c>
      <c r="F23" s="67" t="s">
        <v>649</v>
      </c>
      <c r="G23" s="27">
        <f>IF(E23="","",VLOOKUP(E23,Parts_Data!$P$2:$Q$102,2,FALSE))</f>
        <v>15870</v>
      </c>
      <c r="H23" s="63"/>
      <c r="I23" s="27" t="str">
        <f>IF(H23="","",VLOOKUP(H23,Parts_Data!$L$2:$M$102,2,FALSE))</f>
        <v/>
      </c>
      <c r="J23" s="63"/>
      <c r="K23" s="67"/>
      <c r="L23" s="27" t="str">
        <f>IF(J23="","",VLOOKUP(J23,Parts_Data!$P$2:$Q$102,2,FALSE))</f>
        <v/>
      </c>
      <c r="M23" s="63"/>
      <c r="N23" s="27" t="str">
        <f>IF(M23="","",VLOOKUP(M23,Parts_Data!$L$2:$M$102,2,FALSE))</f>
        <v/>
      </c>
      <c r="O23" s="63"/>
      <c r="P23" s="67"/>
      <c r="Q23" s="27" t="str">
        <f>IF(O23="","",VLOOKUP(O23,Parts_Data!$P$2:$Q$102,2,FALSE))</f>
        <v/>
      </c>
      <c r="R23" s="63"/>
      <c r="S23" s="27" t="str">
        <f>IF(R23="","",VLOOKUP(R23,Parts_Data!$L$2:$M$102,2,FALSE))</f>
        <v/>
      </c>
      <c r="T23" s="63"/>
      <c r="U23" s="67"/>
      <c r="V23" s="27" t="str">
        <f>IF(T23="","",VLOOKUP(T23,Parts_Data!$P$2:$Q$102,2,FALSE))</f>
        <v/>
      </c>
      <c r="W23" s="63"/>
      <c r="X23" s="27" t="str">
        <f>IF(W23="","",VLOOKUP(W23,Parts_Data!$L$2:$M$102,2,FALSE))</f>
        <v/>
      </c>
      <c r="Y23" s="63"/>
      <c r="Z23" s="67"/>
      <c r="AA23" s="27" t="str">
        <f>IF(Y23="","",VLOOKUP(Y23,Parts_Data!$P$2:$Q$102,2,FALSE))</f>
        <v/>
      </c>
      <c r="AB23" s="63"/>
      <c r="AC23" s="27" t="str">
        <f>IF(AB23="","",VLOOKUP(AB23,Parts_Data!$L$2:$M$102,2,FALSE))</f>
        <v/>
      </c>
      <c r="AD23" s="63"/>
      <c r="AE23" s="67"/>
      <c r="AF23" s="27" t="str">
        <f>IF(AD23="","",VLOOKUP(AD23,Parts_Data!$P$2:$Q$102,2,FALSE))</f>
        <v/>
      </c>
      <c r="AG23" s="63"/>
      <c r="AH23" s="27" t="str">
        <f>IF(AG23="","",VLOOKUP(AG23,Parts_Data!$L$2:$M$102,2,FALSE))</f>
        <v/>
      </c>
      <c r="AI23" s="63"/>
      <c r="AJ23" s="67"/>
      <c r="AK23" s="27" t="str">
        <f>IF(AI23="","",VLOOKUP(AI23,Parts_Data!$P$2:$Q$102,2,FALSE))</f>
        <v/>
      </c>
      <c r="AL23" s="63"/>
      <c r="AM23" s="27" t="str">
        <f>IF(AL23="","",VLOOKUP(AL23,Parts_Data!$L$2:$M$102,2,FALSE))</f>
        <v/>
      </c>
      <c r="AN23" s="63"/>
      <c r="AO23" s="67"/>
      <c r="AP23" s="27" t="str">
        <f>IF(AN23="","",VLOOKUP(AN23,Parts_Data!$P$2:$Q$102,2,FALSE))</f>
        <v/>
      </c>
    </row>
    <row r="24" spans="1:42" ht="15.6" x14ac:dyDescent="0.3">
      <c r="A24" t="str">
        <f>VLOOKUP($E$9,Structure_Data!$E$3:$AZ$35,43,FALSE)</f>
        <v>x</v>
      </c>
      <c r="B24" s="30" t="str">
        <f>IF(A24="x",VLOOKUP($A$9,Structure_Data!$E$3:$AZ$35,43,FALSE),"")</f>
        <v>AC4</v>
      </c>
      <c r="C24" s="64"/>
      <c r="D24" s="26" t="str">
        <f>IF(C24="","",VLOOKUP(C24,Parts_Data!$L$2:$M$102,2,FALSE))</f>
        <v/>
      </c>
      <c r="E24" s="64" t="s">
        <v>405</v>
      </c>
      <c r="F24" s="68" t="s">
        <v>649</v>
      </c>
      <c r="G24" s="26">
        <f>IF(E24="","",VLOOKUP(E24,Parts_Data!$P$2:$Q$102,2,FALSE))</f>
        <v>15870</v>
      </c>
      <c r="H24" s="64"/>
      <c r="I24" s="26" t="str">
        <f>IF(H24="","",VLOOKUP(H24,Parts_Data!$L$2:$M$102,2,FALSE))</f>
        <v/>
      </c>
      <c r="J24" s="64"/>
      <c r="K24" s="68"/>
      <c r="L24" s="26" t="str">
        <f>IF(J24="","",VLOOKUP(J24,Parts_Data!$P$2:$Q$102,2,FALSE))</f>
        <v/>
      </c>
      <c r="M24" s="64"/>
      <c r="N24" s="26" t="str">
        <f>IF(M24="","",VLOOKUP(M24,Parts_Data!$L$2:$M$102,2,FALSE))</f>
        <v/>
      </c>
      <c r="O24" s="64"/>
      <c r="P24" s="68"/>
      <c r="Q24" s="26" t="str">
        <f>IF(O24="","",VLOOKUP(O24,Parts_Data!$P$2:$Q$102,2,FALSE))</f>
        <v/>
      </c>
      <c r="R24" s="64"/>
      <c r="S24" s="26" t="str">
        <f>IF(R24="","",VLOOKUP(R24,Parts_Data!$L$2:$M$102,2,FALSE))</f>
        <v/>
      </c>
      <c r="T24" s="64"/>
      <c r="U24" s="68"/>
      <c r="V24" s="26" t="str">
        <f>IF(T24="","",VLOOKUP(T24,Parts_Data!$P$2:$Q$102,2,FALSE))</f>
        <v/>
      </c>
      <c r="W24" s="64"/>
      <c r="X24" s="26" t="str">
        <f>IF(W24="","",VLOOKUP(W24,Parts_Data!$L$2:$M$102,2,FALSE))</f>
        <v/>
      </c>
      <c r="Y24" s="64"/>
      <c r="Z24" s="68"/>
      <c r="AA24" s="26" t="str">
        <f>IF(Y24="","",VLOOKUP(Y24,Parts_Data!$P$2:$Q$102,2,FALSE))</f>
        <v/>
      </c>
      <c r="AB24" s="64"/>
      <c r="AC24" s="26" t="str">
        <f>IF(AB24="","",VLOOKUP(AB24,Parts_Data!$L$2:$M$102,2,FALSE))</f>
        <v/>
      </c>
      <c r="AD24" s="64"/>
      <c r="AE24" s="68"/>
      <c r="AF24" s="26" t="str">
        <f>IF(AD24="","",VLOOKUP(AD24,Parts_Data!$P$2:$Q$102,2,FALSE))</f>
        <v/>
      </c>
      <c r="AG24" s="64"/>
      <c r="AH24" s="26" t="str">
        <f>IF(AG24="","",VLOOKUP(AG24,Parts_Data!$L$2:$M$102,2,FALSE))</f>
        <v/>
      </c>
      <c r="AI24" s="64"/>
      <c r="AJ24" s="68"/>
      <c r="AK24" s="26" t="str">
        <f>IF(AI24="","",VLOOKUP(AI24,Parts_Data!$P$2:$Q$102,2,FALSE))</f>
        <v/>
      </c>
      <c r="AL24" s="64"/>
      <c r="AM24" s="26" t="str">
        <f>IF(AL24="","",VLOOKUP(AL24,Parts_Data!$L$2:$M$102,2,FALSE))</f>
        <v/>
      </c>
      <c r="AN24" s="64"/>
      <c r="AO24" s="68"/>
      <c r="AP24" s="26" t="str">
        <f>IF(AN24="","",VLOOKUP(AN24,Parts_Data!$P$2:$Q$102,2,FALSE))</f>
        <v/>
      </c>
    </row>
    <row r="25" spans="1:42" ht="15.6" x14ac:dyDescent="0.3">
      <c r="A25" t="str">
        <f>VLOOKUP($E$9,Structure_Data!$E$3:$AZ$35,44,FALSE)</f>
        <v>x</v>
      </c>
      <c r="B25" s="30" t="str">
        <f>IF(A25="x",VLOOKUP($A$9,Structure_Data!$E$3:$AZ$35,44,FALSE),"")</f>
        <v>AC5</v>
      </c>
      <c r="C25" s="63"/>
      <c r="D25" s="27" t="str">
        <f>IF(C25="","",VLOOKUP(C25,Parts_Data!$L$2:$M$102,2,FALSE))</f>
        <v/>
      </c>
      <c r="E25" s="63" t="s">
        <v>405</v>
      </c>
      <c r="F25" s="67" t="s">
        <v>649</v>
      </c>
      <c r="G25" s="27">
        <f>IF(E25="","",VLOOKUP(E25,Parts_Data!$P$2:$Q$102,2,FALSE))</f>
        <v>15870</v>
      </c>
      <c r="H25" s="63"/>
      <c r="I25" s="27" t="str">
        <f>IF(H25="","",VLOOKUP(H25,Parts_Data!$L$2:$M$102,2,FALSE))</f>
        <v/>
      </c>
      <c r="J25" s="63"/>
      <c r="K25" s="67"/>
      <c r="L25" s="27" t="str">
        <f>IF(J25="","",VLOOKUP(J25,Parts_Data!$P$2:$Q$102,2,FALSE))</f>
        <v/>
      </c>
      <c r="M25" s="63"/>
      <c r="N25" s="27" t="str">
        <f>IF(M25="","",VLOOKUP(M25,Parts_Data!$L$2:$M$102,2,FALSE))</f>
        <v/>
      </c>
      <c r="O25" s="63"/>
      <c r="P25" s="67"/>
      <c r="Q25" s="27" t="str">
        <f>IF(O25="","",VLOOKUP(O25,Parts_Data!$P$2:$Q$102,2,FALSE))</f>
        <v/>
      </c>
      <c r="R25" s="63"/>
      <c r="S25" s="27" t="str">
        <f>IF(R25="","",VLOOKUP(R25,Parts_Data!$L$2:$M$102,2,FALSE))</f>
        <v/>
      </c>
      <c r="T25" s="63"/>
      <c r="U25" s="67"/>
      <c r="V25" s="27" t="str">
        <f>IF(T25="","",VLOOKUP(T25,Parts_Data!$P$2:$Q$102,2,FALSE))</f>
        <v/>
      </c>
      <c r="W25" s="63"/>
      <c r="X25" s="27" t="str">
        <f>IF(W25="","",VLOOKUP(W25,Parts_Data!$L$2:$M$102,2,FALSE))</f>
        <v/>
      </c>
      <c r="Y25" s="63"/>
      <c r="Z25" s="67"/>
      <c r="AA25" s="27" t="str">
        <f>IF(Y25="","",VLOOKUP(Y25,Parts_Data!$P$2:$Q$102,2,FALSE))</f>
        <v/>
      </c>
      <c r="AB25" s="63"/>
      <c r="AC25" s="27" t="str">
        <f>IF(AB25="","",VLOOKUP(AB25,Parts_Data!$L$2:$M$102,2,FALSE))</f>
        <v/>
      </c>
      <c r="AD25" s="63"/>
      <c r="AE25" s="67"/>
      <c r="AF25" s="27" t="str">
        <f>IF(AD25="","",VLOOKUP(AD25,Parts_Data!$P$2:$Q$102,2,FALSE))</f>
        <v/>
      </c>
      <c r="AG25" s="63"/>
      <c r="AH25" s="27" t="str">
        <f>IF(AG25="","",VLOOKUP(AG25,Parts_Data!$L$2:$M$102,2,FALSE))</f>
        <v/>
      </c>
      <c r="AI25" s="63"/>
      <c r="AJ25" s="67"/>
      <c r="AK25" s="27" t="str">
        <f>IF(AI25="","",VLOOKUP(AI25,Parts_Data!$P$2:$Q$102,2,FALSE))</f>
        <v/>
      </c>
      <c r="AL25" s="63"/>
      <c r="AM25" s="27" t="str">
        <f>IF(AL25="","",VLOOKUP(AL25,Parts_Data!$L$2:$M$102,2,FALSE))</f>
        <v/>
      </c>
      <c r="AN25" s="63"/>
      <c r="AO25" s="67"/>
      <c r="AP25" s="27" t="str">
        <f>IF(AN25="","",VLOOKUP(AN25,Parts_Data!$P$2:$Q$102,2,FALSE))</f>
        <v/>
      </c>
    </row>
    <row r="26" spans="1:42" ht="15.6" x14ac:dyDescent="0.3">
      <c r="A26" t="str">
        <f>VLOOKUP($E$9,Structure_Data!$E$3:$AZ$35,45,FALSE)</f>
        <v>x</v>
      </c>
      <c r="B26" s="30" t="str">
        <f>IF(A26="x",VLOOKUP($A$9,Structure_Data!$E$3:$AZ$35,45,FALSE),"")</f>
        <v>AC6</v>
      </c>
      <c r="C26" s="64"/>
      <c r="D26" s="26" t="str">
        <f>IF(C26="","",VLOOKUP(C26,Parts_Data!$L$2:$M$102,2,FALSE))</f>
        <v/>
      </c>
      <c r="E26" s="64" t="s">
        <v>405</v>
      </c>
      <c r="F26" s="68" t="s">
        <v>649</v>
      </c>
      <c r="G26" s="26">
        <f>IF(E26="","",VLOOKUP(E26,Parts_Data!$P$2:$Q$102,2,FALSE))</f>
        <v>15870</v>
      </c>
      <c r="H26" s="64"/>
      <c r="I26" s="26" t="str">
        <f>IF(H26="","",VLOOKUP(H26,Parts_Data!$L$2:$M$102,2,FALSE))</f>
        <v/>
      </c>
      <c r="J26" s="64"/>
      <c r="K26" s="68"/>
      <c r="L26" s="26" t="str">
        <f>IF(J26="","",VLOOKUP(J26,Parts_Data!$P$2:$Q$102,2,FALSE))</f>
        <v/>
      </c>
      <c r="M26" s="64"/>
      <c r="N26" s="26" t="str">
        <f>IF(M26="","",VLOOKUP(M26,Parts_Data!$L$2:$M$102,2,FALSE))</f>
        <v/>
      </c>
      <c r="O26" s="64"/>
      <c r="P26" s="68"/>
      <c r="Q26" s="26" t="str">
        <f>IF(O26="","",VLOOKUP(O26,Parts_Data!$P$2:$Q$102,2,FALSE))</f>
        <v/>
      </c>
      <c r="R26" s="64"/>
      <c r="S26" s="26" t="str">
        <f>IF(R26="","",VLOOKUP(R26,Parts_Data!$L$2:$M$102,2,FALSE))</f>
        <v/>
      </c>
      <c r="T26" s="64"/>
      <c r="U26" s="68"/>
      <c r="V26" s="26" t="str">
        <f>IF(T26="","",VLOOKUP(T26,Parts_Data!$P$2:$Q$102,2,FALSE))</f>
        <v/>
      </c>
      <c r="W26" s="64"/>
      <c r="X26" s="26" t="str">
        <f>IF(W26="","",VLOOKUP(W26,Parts_Data!$L$2:$M$102,2,FALSE))</f>
        <v/>
      </c>
      <c r="Y26" s="64"/>
      <c r="Z26" s="68"/>
      <c r="AA26" s="26" t="str">
        <f>IF(Y26="","",VLOOKUP(Y26,Parts_Data!$P$2:$Q$102,2,FALSE))</f>
        <v/>
      </c>
      <c r="AB26" s="64"/>
      <c r="AC26" s="26" t="str">
        <f>IF(AB26="","",VLOOKUP(AB26,Parts_Data!$L$2:$M$102,2,FALSE))</f>
        <v/>
      </c>
      <c r="AD26" s="64"/>
      <c r="AE26" s="68"/>
      <c r="AF26" s="26" t="str">
        <f>IF(AD26="","",VLOOKUP(AD26,Parts_Data!$P$2:$Q$102,2,FALSE))</f>
        <v/>
      </c>
      <c r="AG26" s="64"/>
      <c r="AH26" s="26" t="str">
        <f>IF(AG26="","",VLOOKUP(AG26,Parts_Data!$L$2:$M$102,2,FALSE))</f>
        <v/>
      </c>
      <c r="AI26" s="64"/>
      <c r="AJ26" s="68"/>
      <c r="AK26" s="26" t="str">
        <f>IF(AI26="","",VLOOKUP(AI26,Parts_Data!$P$2:$Q$102,2,FALSE))</f>
        <v/>
      </c>
      <c r="AL26" s="64"/>
      <c r="AM26" s="26" t="str">
        <f>IF(AL26="","",VLOOKUP(AL26,Parts_Data!$L$2:$M$102,2,FALSE))</f>
        <v/>
      </c>
      <c r="AN26" s="64"/>
      <c r="AO26" s="68"/>
      <c r="AP26" s="26" t="str">
        <f>IF(AN26="","",VLOOKUP(AN26,Parts_Data!$P$2:$Q$102,2,FALSE))</f>
        <v/>
      </c>
    </row>
    <row r="27" spans="1:42" ht="15.6" x14ac:dyDescent="0.3">
      <c r="A27" t="str">
        <f>VLOOKUP($E$9,Structure_Data!$E$3:$AZ$35,46,FALSE)</f>
        <v>x</v>
      </c>
      <c r="B27" s="30" t="str">
        <f>IF(A27="x",VLOOKUP($A$9,Structure_Data!$E$3:$AZ$35,46,FALSE),"")</f>
        <v>AC7</v>
      </c>
      <c r="C27" s="63"/>
      <c r="D27" s="27" t="str">
        <f>IF(C27="","",VLOOKUP(C27,Parts_Data!$L$2:$M$102,2,FALSE))</f>
        <v/>
      </c>
      <c r="E27" s="63" t="s">
        <v>405</v>
      </c>
      <c r="F27" s="67" t="s">
        <v>649</v>
      </c>
      <c r="G27" s="27">
        <f>IF(E27="","",VLOOKUP(E27,Parts_Data!$P$2:$Q$102,2,FALSE))</f>
        <v>15870</v>
      </c>
      <c r="H27" s="63"/>
      <c r="I27" s="27" t="str">
        <f>IF(H27="","",VLOOKUP(H27,Parts_Data!$L$2:$M$102,2,FALSE))</f>
        <v/>
      </c>
      <c r="J27" s="63"/>
      <c r="K27" s="67"/>
      <c r="L27" s="27" t="str">
        <f>IF(J27="","",VLOOKUP(J27,Parts_Data!$P$2:$Q$102,2,FALSE))</f>
        <v/>
      </c>
      <c r="M27" s="63"/>
      <c r="N27" s="27" t="str">
        <f>IF(M27="","",VLOOKUP(M27,Parts_Data!$L$2:$M$102,2,FALSE))</f>
        <v/>
      </c>
      <c r="O27" s="63"/>
      <c r="P27" s="67"/>
      <c r="Q27" s="27" t="str">
        <f>IF(O27="","",VLOOKUP(O27,Parts_Data!$P$2:$Q$102,2,FALSE))</f>
        <v/>
      </c>
      <c r="R27" s="63"/>
      <c r="S27" s="27" t="str">
        <f>IF(R27="","",VLOOKUP(R27,Parts_Data!$L$2:$M$102,2,FALSE))</f>
        <v/>
      </c>
      <c r="T27" s="63"/>
      <c r="U27" s="67"/>
      <c r="V27" s="27" t="str">
        <f>IF(T27="","",VLOOKUP(T27,Parts_Data!$P$2:$Q$102,2,FALSE))</f>
        <v/>
      </c>
      <c r="W27" s="63"/>
      <c r="X27" s="27" t="str">
        <f>IF(W27="","",VLOOKUP(W27,Parts_Data!$L$2:$M$102,2,FALSE))</f>
        <v/>
      </c>
      <c r="Y27" s="63"/>
      <c r="Z27" s="67"/>
      <c r="AA27" s="27" t="str">
        <f>IF(Y27="","",VLOOKUP(Y27,Parts_Data!$P$2:$Q$102,2,FALSE))</f>
        <v/>
      </c>
      <c r="AB27" s="63"/>
      <c r="AC27" s="27" t="str">
        <f>IF(AB27="","",VLOOKUP(AB27,Parts_Data!$L$2:$M$102,2,FALSE))</f>
        <v/>
      </c>
      <c r="AD27" s="63"/>
      <c r="AE27" s="67"/>
      <c r="AF27" s="27" t="str">
        <f>IF(AD27="","",VLOOKUP(AD27,Parts_Data!$P$2:$Q$102,2,FALSE))</f>
        <v/>
      </c>
      <c r="AG27" s="63"/>
      <c r="AH27" s="27" t="str">
        <f>IF(AG27="","",VLOOKUP(AG27,Parts_Data!$L$2:$M$102,2,FALSE))</f>
        <v/>
      </c>
      <c r="AI27" s="63"/>
      <c r="AJ27" s="67"/>
      <c r="AK27" s="27" t="str">
        <f>IF(AI27="","",VLOOKUP(AI27,Parts_Data!$P$2:$Q$102,2,FALSE))</f>
        <v/>
      </c>
      <c r="AL27" s="63"/>
      <c r="AM27" s="27" t="str">
        <f>IF(AL27="","",VLOOKUP(AL27,Parts_Data!$L$2:$M$102,2,FALSE))</f>
        <v/>
      </c>
      <c r="AN27" s="63"/>
      <c r="AO27" s="67"/>
      <c r="AP27" s="27" t="str">
        <f>IF(AN27="","",VLOOKUP(AN27,Parts_Data!$P$2:$Q$102,2,FALSE))</f>
        <v/>
      </c>
    </row>
    <row r="28" spans="1:42" ht="15.6" x14ac:dyDescent="0.3">
      <c r="A28" t="str">
        <f>VLOOKUP($E$9,Structure_Data!$E$3:$AZ$35,47,FALSE)</f>
        <v>x</v>
      </c>
      <c r="B28" s="30" t="str">
        <f>IF(A28="x",VLOOKUP($A$9,Structure_Data!$E$3:$AZ$35,47,FALSE),"")</f>
        <v>AC8</v>
      </c>
      <c r="C28" s="64"/>
      <c r="D28" s="26" t="str">
        <f>IF(C28="","",VLOOKUP(C28,Parts_Data!$L$2:$M$102,2,FALSE))</f>
        <v/>
      </c>
      <c r="E28" s="64" t="s">
        <v>405</v>
      </c>
      <c r="F28" s="68" t="s">
        <v>649</v>
      </c>
      <c r="G28" s="26">
        <f>IF(E28="","",VLOOKUP(E28,Parts_Data!$P$2:$Q$102,2,FALSE))</f>
        <v>15870</v>
      </c>
      <c r="H28" s="64"/>
      <c r="I28" s="26" t="str">
        <f>IF(H28="","",VLOOKUP(H28,Parts_Data!$L$2:$M$102,2,FALSE))</f>
        <v/>
      </c>
      <c r="J28" s="64"/>
      <c r="K28" s="68"/>
      <c r="L28" s="26" t="str">
        <f>IF(J28="","",VLOOKUP(J28,Parts_Data!$P$2:$Q$102,2,FALSE))</f>
        <v/>
      </c>
      <c r="M28" s="64"/>
      <c r="N28" s="26" t="str">
        <f>IF(M28="","",VLOOKUP(M28,Parts_Data!$L$2:$M$102,2,FALSE))</f>
        <v/>
      </c>
      <c r="O28" s="64"/>
      <c r="P28" s="68"/>
      <c r="Q28" s="26" t="str">
        <f>IF(O28="","",VLOOKUP(O28,Parts_Data!$P$2:$Q$102,2,FALSE))</f>
        <v/>
      </c>
      <c r="R28" s="64"/>
      <c r="S28" s="26" t="str">
        <f>IF(R28="","",VLOOKUP(R28,Parts_Data!$L$2:$M$102,2,FALSE))</f>
        <v/>
      </c>
      <c r="T28" s="64"/>
      <c r="U28" s="68"/>
      <c r="V28" s="26" t="str">
        <f>IF(T28="","",VLOOKUP(T28,Parts_Data!$P$2:$Q$102,2,FALSE))</f>
        <v/>
      </c>
      <c r="W28" s="64"/>
      <c r="X28" s="26" t="str">
        <f>IF(W28="","",VLOOKUP(W28,Parts_Data!$L$2:$M$102,2,FALSE))</f>
        <v/>
      </c>
      <c r="Y28" s="64"/>
      <c r="Z28" s="68"/>
      <c r="AA28" s="26" t="str">
        <f>IF(Y28="","",VLOOKUP(Y28,Parts_Data!$P$2:$Q$102,2,FALSE))</f>
        <v/>
      </c>
      <c r="AB28" s="64"/>
      <c r="AC28" s="26" t="str">
        <f>IF(AB28="","",VLOOKUP(AB28,Parts_Data!$L$2:$M$102,2,FALSE))</f>
        <v/>
      </c>
      <c r="AD28" s="64"/>
      <c r="AE28" s="68"/>
      <c r="AF28" s="26" t="str">
        <f>IF(AD28="","",VLOOKUP(AD28,Parts_Data!$P$2:$Q$102,2,FALSE))</f>
        <v/>
      </c>
      <c r="AG28" s="64"/>
      <c r="AH28" s="26" t="str">
        <f>IF(AG28="","",VLOOKUP(AG28,Parts_Data!$L$2:$M$102,2,FALSE))</f>
        <v/>
      </c>
      <c r="AI28" s="64"/>
      <c r="AJ28" s="68"/>
      <c r="AK28" s="26" t="str">
        <f>IF(AI28="","",VLOOKUP(AI28,Parts_Data!$P$2:$Q$102,2,FALSE))</f>
        <v/>
      </c>
      <c r="AL28" s="64"/>
      <c r="AM28" s="26" t="str">
        <f>IF(AL28="","",VLOOKUP(AL28,Parts_Data!$L$2:$M$102,2,FALSE))</f>
        <v/>
      </c>
      <c r="AN28" s="64"/>
      <c r="AO28" s="68"/>
      <c r="AP28" s="26" t="str">
        <f>IF(AN28="","",VLOOKUP(AN28,Parts_Data!$P$2:$Q$102,2,FALSE))</f>
        <v/>
      </c>
    </row>
    <row r="29" spans="1:42" ht="16.2" thickBot="1" x14ac:dyDescent="0.35">
      <c r="A29" t="str">
        <f>VLOOKUP($E$9,Structure_Data!$E$3:$AZ$35,48,FALSE)</f>
        <v>x</v>
      </c>
      <c r="B29" s="31" t="str">
        <f>IF(A29="x",VLOOKUP($A$9,Structure_Data!$E$3:$AZ$35,48,FALSE),"")</f>
        <v>AC9</v>
      </c>
      <c r="C29" s="65"/>
      <c r="D29" s="28" t="str">
        <f>IF(C29="","",VLOOKUP(C29,Parts_Data!$L$2:$M$102,2,FALSE))</f>
        <v/>
      </c>
      <c r="E29" s="65" t="s">
        <v>405</v>
      </c>
      <c r="F29" s="69" t="s">
        <v>649</v>
      </c>
      <c r="G29" s="28">
        <f>IF(E29="","",VLOOKUP(E29,Parts_Data!$P$2:$Q$102,2,FALSE))</f>
        <v>15870</v>
      </c>
      <c r="H29" s="65"/>
      <c r="I29" s="28" t="str">
        <f>IF(H29="","",VLOOKUP(H29,Parts_Data!$L$2:$M$102,2,FALSE))</f>
        <v/>
      </c>
      <c r="J29" s="65"/>
      <c r="K29" s="69"/>
      <c r="L29" s="28" t="str">
        <f>IF(J29="","",VLOOKUP(J29,Parts_Data!$P$2:$Q$102,2,FALSE))</f>
        <v/>
      </c>
      <c r="M29" s="65"/>
      <c r="N29" s="28" t="str">
        <f>IF(M29="","",VLOOKUP(M29,Parts_Data!$L$2:$M$102,2,FALSE))</f>
        <v/>
      </c>
      <c r="O29" s="65"/>
      <c r="P29" s="69"/>
      <c r="Q29" s="28" t="str">
        <f>IF(O29="","",VLOOKUP(O29,Parts_Data!$P$2:$Q$102,2,FALSE))</f>
        <v/>
      </c>
      <c r="R29" s="65"/>
      <c r="S29" s="28" t="str">
        <f>IF(R29="","",VLOOKUP(R29,Parts_Data!$L$2:$M$102,2,FALSE))</f>
        <v/>
      </c>
      <c r="T29" s="65"/>
      <c r="U29" s="69"/>
      <c r="V29" s="28" t="str">
        <f>IF(T29="","",VLOOKUP(T29,Parts_Data!$P$2:$Q$102,2,FALSE))</f>
        <v/>
      </c>
      <c r="W29" s="65"/>
      <c r="X29" s="28" t="str">
        <f>IF(W29="","",VLOOKUP(W29,Parts_Data!$L$2:$M$102,2,FALSE))</f>
        <v/>
      </c>
      <c r="Y29" s="65"/>
      <c r="Z29" s="69"/>
      <c r="AA29" s="28" t="str">
        <f>IF(Y29="","",VLOOKUP(Y29,Parts_Data!$P$2:$Q$102,2,FALSE))</f>
        <v/>
      </c>
      <c r="AB29" s="65"/>
      <c r="AC29" s="28" t="str">
        <f>IF(AB29="","",VLOOKUP(AB29,Parts_Data!$L$2:$M$102,2,FALSE))</f>
        <v/>
      </c>
      <c r="AD29" s="65"/>
      <c r="AE29" s="69"/>
      <c r="AF29" s="28" t="str">
        <f>IF(AD29="","",VLOOKUP(AD29,Parts_Data!$P$2:$Q$102,2,FALSE))</f>
        <v/>
      </c>
      <c r="AG29" s="65"/>
      <c r="AH29" s="28" t="str">
        <f>IF(AG29="","",VLOOKUP(AG29,Parts_Data!$L$2:$M$102,2,FALSE))</f>
        <v/>
      </c>
      <c r="AI29" s="65"/>
      <c r="AJ29" s="69"/>
      <c r="AK29" s="28" t="str">
        <f>IF(AI29="","",VLOOKUP(AI29,Parts_Data!$P$2:$Q$102,2,FALSE))</f>
        <v/>
      </c>
      <c r="AL29" s="65"/>
      <c r="AM29" s="28" t="str">
        <f>IF(AL29="","",VLOOKUP(AL29,Parts_Data!$L$2:$M$102,2,FALSE))</f>
        <v/>
      </c>
      <c r="AN29" s="65"/>
      <c r="AO29" s="69"/>
      <c r="AP29" s="28" t="str">
        <f>IF(AN29="","",VLOOKUP(AN29,Parts_Data!$P$2:$Q$102,2,FALSE))</f>
        <v/>
      </c>
    </row>
  </sheetData>
  <sheetProtection algorithmName="SHA-512" hashValue="x0jFUwfliOxJNRUrb1kgXBuIrtJyvgBrNM1wmH7JE+A1jjWuRyT2t24cCqgadk7lPLCM4EM8VyuHf83DfzUASw==" saltValue="feWPbfY5XJ0D/WcUvjTu2w==" spinCount="100000" sheet="1" objects="1" scenarios="1" formatCells="0" formatColumns="0" formatRows="0" selectLockedCells="1"/>
  <mergeCells count="14">
    <mergeCell ref="C2:C4"/>
    <mergeCell ref="D2:H4"/>
    <mergeCell ref="D6:E6"/>
    <mergeCell ref="F6:G6"/>
    <mergeCell ref="D7:E7"/>
    <mergeCell ref="F7:G7"/>
    <mergeCell ref="D10:E10"/>
    <mergeCell ref="F10:G10"/>
    <mergeCell ref="C8:D8"/>
    <mergeCell ref="E8:F8"/>
    <mergeCell ref="G8:H8"/>
    <mergeCell ref="C9:D9"/>
    <mergeCell ref="E9:F9"/>
    <mergeCell ref="G9:H9"/>
  </mergeCells>
  <dataValidations count="3">
    <dataValidation type="list" allowBlank="1" showInputMessage="1" showErrorMessage="1" sqref="T14:T29 E14:E29 AD14:AD29 AI14:AI29 J14:J29 O14:O29 Y14:Y29 AN14:AN29" xr:uid="{F492BC65-A875-4B34-85DF-C5F42F509BD9}">
      <formula1>INDIRECT($F$12)</formula1>
    </dataValidation>
    <dataValidation type="list" allowBlank="1" showInputMessage="1" showErrorMessage="1" sqref="C14:C29 W14:W29 AB14:AB29 AG14:AG29 H14:H29 M14:M29 R14:R29 AL14:AL29" xr:uid="{6C809218-B550-469E-A2E5-1D7817E363FF}">
      <formula1>INDIRECT($D$12)</formula1>
    </dataValidation>
    <dataValidation type="list" allowBlank="1" showInputMessage="1" showErrorMessage="1" sqref="E9:F9" xr:uid="{56C8347A-9605-497B-ADC4-7AEEE2B4260C}">
      <formula1>INDIRECT($A$9)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23BBBF-E77A-47A4-89BB-DA19E570BF67}">
          <x14:formula1>
            <xm:f>Structure_Data!$A$24:$A$34</xm:f>
          </x14:formula1>
          <xm:sqref>C9:D9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72C7D-9761-482E-A5B6-405431AE0733}">
  <sheetPr codeName="Sheet4"/>
  <dimension ref="A1:AG46"/>
  <sheetViews>
    <sheetView showGridLines="0" zoomScaleNormal="100" workbookViewId="0">
      <pane xSplit="1" topLeftCell="B1" activePane="topRight" state="frozen"/>
      <selection activeCell="F25" sqref="F25"/>
      <selection pane="topRight" activeCell="P23" sqref="P23:Q23"/>
    </sheetView>
  </sheetViews>
  <sheetFormatPr defaultColWidth="11.109375" defaultRowHeight="14.4" x14ac:dyDescent="0.3"/>
  <cols>
    <col min="1" max="1" width="16.44140625" customWidth="1"/>
    <col min="2" max="2" width="16.44140625" bestFit="1" customWidth="1"/>
    <col min="3" max="3" width="11.5546875" bestFit="1" customWidth="1"/>
    <col min="4" max="4" width="17.109375" bestFit="1" customWidth="1"/>
    <col min="5" max="5" width="11.109375" bestFit="1" customWidth="1"/>
    <col min="6" max="6" width="27.44140625" customWidth="1"/>
    <col min="7" max="7" width="17.109375" bestFit="1" customWidth="1"/>
    <col min="9" max="9" width="23.6640625" customWidth="1"/>
    <col min="11" max="11" width="20.109375" customWidth="1"/>
    <col min="12" max="12" width="23.6640625" customWidth="1"/>
    <col min="13" max="13" width="29.44140625" customWidth="1"/>
    <col min="14" max="14" width="23.6640625" customWidth="1"/>
    <col min="17" max="17" width="23.6640625" customWidth="1"/>
    <col min="19" max="19" width="23.6640625" customWidth="1"/>
    <col min="22" max="22" width="23.6640625" customWidth="1"/>
    <col min="24" max="24" width="23.6640625" customWidth="1"/>
    <col min="27" max="27" width="23.6640625" customWidth="1"/>
    <col min="29" max="29" width="23.6640625" customWidth="1"/>
    <col min="32" max="32" width="23.6640625" customWidth="1"/>
  </cols>
  <sheetData>
    <row r="1" spans="1:33" x14ac:dyDescent="0.3">
      <c r="A1" s="104" t="s">
        <v>246</v>
      </c>
      <c r="B1" s="7"/>
      <c r="C1" s="7"/>
      <c r="D1" s="7"/>
      <c r="E1" s="7"/>
      <c r="F1" s="7"/>
      <c r="G1" s="7"/>
    </row>
    <row r="2" spans="1:33" x14ac:dyDescent="0.3">
      <c r="A2" s="104"/>
      <c r="B2" s="182"/>
      <c r="C2" s="183" t="s">
        <v>252</v>
      </c>
      <c r="D2" s="183"/>
      <c r="E2" s="183"/>
      <c r="F2" s="183"/>
      <c r="G2" s="183"/>
    </row>
    <row r="3" spans="1:33" x14ac:dyDescent="0.3">
      <c r="A3" s="103"/>
      <c r="B3" s="182"/>
      <c r="C3" s="183"/>
      <c r="D3" s="183"/>
      <c r="E3" s="183"/>
      <c r="F3" s="183"/>
      <c r="G3" s="183"/>
    </row>
    <row r="4" spans="1:33" ht="15" thickBot="1" x14ac:dyDescent="0.35">
      <c r="A4" s="103"/>
      <c r="B4" s="182"/>
      <c r="C4" s="183"/>
      <c r="D4" s="183"/>
      <c r="E4" s="183"/>
      <c r="F4" s="183"/>
      <c r="G4" s="183"/>
    </row>
    <row r="5" spans="1:33" ht="4.5" customHeight="1" thickBot="1" x14ac:dyDescent="0.35">
      <c r="A5" s="103"/>
      <c r="B5" s="124"/>
      <c r="C5" s="125"/>
      <c r="D5" s="125"/>
      <c r="E5" s="125"/>
      <c r="F5" s="125"/>
      <c r="G5" s="126"/>
    </row>
    <row r="6" spans="1:33" ht="18" x14ac:dyDescent="0.35">
      <c r="A6" s="103"/>
      <c r="B6" s="38" t="s">
        <v>44</v>
      </c>
      <c r="C6" s="202" t="s">
        <v>51</v>
      </c>
      <c r="D6" s="202"/>
      <c r="E6" s="202" t="s">
        <v>48</v>
      </c>
      <c r="F6" s="202"/>
      <c r="G6" s="39" t="s">
        <v>45</v>
      </c>
    </row>
    <row r="7" spans="1:33" ht="15.6" x14ac:dyDescent="0.3">
      <c r="A7" s="103"/>
      <c r="B7" s="99">
        <f>CoverSheet!B7</f>
        <v>44883</v>
      </c>
      <c r="C7" s="196" t="str">
        <f>CoverSheet!C7</f>
        <v>GR700</v>
      </c>
      <c r="D7" s="196"/>
      <c r="E7" s="196" t="str">
        <f>CoverSheet!E7</f>
        <v>WD-OR-VAC-GR700</v>
      </c>
      <c r="F7" s="196"/>
      <c r="G7" s="100" t="str">
        <f>CoverSheet!G7</f>
        <v>Saba Saba</v>
      </c>
      <c r="L7" t="s">
        <v>176</v>
      </c>
    </row>
    <row r="8" spans="1:33" ht="45" customHeight="1" thickBot="1" x14ac:dyDescent="0.4">
      <c r="A8" s="103"/>
      <c r="B8" s="101"/>
      <c r="C8" s="205"/>
      <c r="D8" s="205"/>
      <c r="E8" s="205"/>
      <c r="F8" s="205"/>
      <c r="G8" s="102" t="str">
        <f>CoverSheet!G11</f>
        <v>v1.2.1</v>
      </c>
    </row>
    <row r="9" spans="1:33" ht="4.5" customHeight="1" thickBot="1" x14ac:dyDescent="0.4">
      <c r="A9" s="103"/>
      <c r="B9" s="127"/>
      <c r="C9" s="128"/>
      <c r="D9" s="128"/>
      <c r="E9" s="128"/>
      <c r="F9" s="128"/>
      <c r="G9" s="129"/>
    </row>
    <row r="10" spans="1:33" ht="9" hidden="1" customHeight="1" thickBot="1" x14ac:dyDescent="0.35">
      <c r="C10" t="s">
        <v>174</v>
      </c>
      <c r="E10" t="s">
        <v>175</v>
      </c>
      <c r="G10" t="s">
        <v>174</v>
      </c>
      <c r="I10" t="s">
        <v>175</v>
      </c>
      <c r="L10" t="s">
        <v>174</v>
      </c>
      <c r="N10" t="s">
        <v>175</v>
      </c>
      <c r="Q10" t="s">
        <v>174</v>
      </c>
      <c r="S10" t="s">
        <v>175</v>
      </c>
      <c r="V10" t="s">
        <v>174</v>
      </c>
      <c r="X10" t="s">
        <v>175</v>
      </c>
      <c r="AA10" t="s">
        <v>174</v>
      </c>
      <c r="AC10" t="s">
        <v>175</v>
      </c>
      <c r="AF10" t="s">
        <v>174</v>
      </c>
    </row>
    <row r="11" spans="1:33" ht="36.6" thickBot="1" x14ac:dyDescent="0.35">
      <c r="A11" s="5" t="s">
        <v>156</v>
      </c>
      <c r="B11" s="48" t="s">
        <v>162</v>
      </c>
      <c r="C11" s="48" t="s">
        <v>163</v>
      </c>
      <c r="D11" s="6" t="s">
        <v>34</v>
      </c>
      <c r="E11" s="35" t="s">
        <v>35</v>
      </c>
      <c r="F11" s="6" t="s">
        <v>36</v>
      </c>
      <c r="G11" s="36" t="s">
        <v>139</v>
      </c>
      <c r="H11" s="35" t="s">
        <v>35</v>
      </c>
      <c r="I11" s="6" t="s">
        <v>34</v>
      </c>
      <c r="J11" s="35" t="s">
        <v>35</v>
      </c>
      <c r="K11" s="6" t="s">
        <v>37</v>
      </c>
      <c r="L11" s="36" t="s">
        <v>140</v>
      </c>
      <c r="M11" s="35" t="s">
        <v>35</v>
      </c>
      <c r="N11" s="6" t="s">
        <v>34</v>
      </c>
      <c r="O11" s="35" t="s">
        <v>35</v>
      </c>
      <c r="P11" s="6" t="s">
        <v>38</v>
      </c>
      <c r="Q11" s="36" t="s">
        <v>141</v>
      </c>
      <c r="R11" s="35" t="s">
        <v>35</v>
      </c>
      <c r="S11" s="6" t="s">
        <v>34</v>
      </c>
      <c r="T11" s="35" t="s">
        <v>35</v>
      </c>
      <c r="U11" s="6" t="s">
        <v>39</v>
      </c>
      <c r="V11" s="36" t="s">
        <v>142</v>
      </c>
      <c r="W11" s="35" t="s">
        <v>35</v>
      </c>
      <c r="X11" s="6" t="s">
        <v>34</v>
      </c>
      <c r="Y11" s="35" t="s">
        <v>35</v>
      </c>
      <c r="Z11" s="6" t="s">
        <v>40</v>
      </c>
      <c r="AA11" s="36" t="s">
        <v>143</v>
      </c>
      <c r="AB11" s="35" t="s">
        <v>35</v>
      </c>
      <c r="AC11" s="6" t="s">
        <v>34</v>
      </c>
      <c r="AD11" s="35" t="s">
        <v>35</v>
      </c>
      <c r="AE11" s="6" t="s">
        <v>41</v>
      </c>
      <c r="AF11" s="36" t="s">
        <v>144</v>
      </c>
      <c r="AG11" s="35" t="s">
        <v>35</v>
      </c>
    </row>
    <row r="12" spans="1:33" ht="15.6" hidden="1" x14ac:dyDescent="0.3">
      <c r="A12" s="30" t="s">
        <v>312</v>
      </c>
      <c r="B12" s="64"/>
      <c r="C12" s="98"/>
      <c r="D12" s="64"/>
      <c r="E12" s="26" t="str">
        <f>IF(D12="","",VLOOKUP(D12,Parts_Data!$T$2:$U$102,2,FALSE))</f>
        <v/>
      </c>
      <c r="F12" s="64"/>
      <c r="G12" s="68"/>
      <c r="H12" s="26" t="str">
        <f>IF(F12="","",VLOOKUP(F12,Parts_Data!$X$2:$Y$102,2,FALSE))</f>
        <v/>
      </c>
      <c r="I12" s="64"/>
      <c r="J12" s="26" t="str">
        <f>IF(I12="","",VLOOKUP(I12,Parts_Data!$T$2:$U$102,2,FALSE))</f>
        <v/>
      </c>
      <c r="K12" s="64"/>
      <c r="L12" s="68"/>
      <c r="M12" s="26" t="str">
        <f>IF(K12="","",VLOOKUP(K12,Parts_Data!$X$2:$Y$102,2,FALSE))</f>
        <v/>
      </c>
      <c r="N12" s="64"/>
      <c r="O12" s="26" t="str">
        <f>IF(N12="","",VLOOKUP(N12,Parts_Data!$T$2:$U$102,2,FALSE))</f>
        <v/>
      </c>
      <c r="P12" s="64"/>
      <c r="Q12" s="68"/>
      <c r="R12" s="26" t="str">
        <f>IF(P12="","",VLOOKUP(P12,Parts_Data!$X$2:$Y$102,2,FALSE))</f>
        <v/>
      </c>
      <c r="S12" s="64"/>
      <c r="T12" s="26" t="str">
        <f>IF(S12="","",VLOOKUP(S12,Parts_Data!$T$2:$U$102,2,FALSE))</f>
        <v/>
      </c>
      <c r="U12" s="64"/>
      <c r="V12" s="68"/>
      <c r="W12" s="26" t="str">
        <f>IF(U12="","",VLOOKUP(U12,Parts_Data!$X$2:$Y$102,2,FALSE))</f>
        <v/>
      </c>
      <c r="X12" s="64"/>
      <c r="Y12" s="26" t="str">
        <f>IF(X12="","",VLOOKUP(X12,Parts_Data!$T$2:$U$102,2,FALSE))</f>
        <v/>
      </c>
      <c r="Z12" s="64"/>
      <c r="AA12" s="68"/>
      <c r="AB12" s="26" t="str">
        <f>IF(Z12="","",VLOOKUP(Z12,Parts_Data!$X$2:$Y$102,2,FALSE))</f>
        <v/>
      </c>
      <c r="AC12" s="64"/>
      <c r="AD12" s="26" t="str">
        <f>IF(AC12="","",VLOOKUP(AC12,Parts_Data!$T$2:$U$102,2,FALSE))</f>
        <v/>
      </c>
      <c r="AE12" s="64"/>
      <c r="AF12" s="68"/>
      <c r="AG12" s="26" t="str">
        <f>IF(AE12="","",VLOOKUP(AE12,Parts_Data!$X$2:$Y$102,2,FALSE))</f>
        <v/>
      </c>
    </row>
    <row r="13" spans="1:33" ht="15.6" x14ac:dyDescent="0.3">
      <c r="A13" s="147" t="s">
        <v>646</v>
      </c>
      <c r="B13" s="64" t="s">
        <v>165</v>
      </c>
      <c r="C13" s="98" t="s">
        <v>166</v>
      </c>
      <c r="D13" s="64"/>
      <c r="E13" s="26" t="str">
        <f>IF(D13="","",VLOOKUP(D13,Parts_Data!$T$2:$U$102,2,FALSE))</f>
        <v/>
      </c>
      <c r="F13" s="64" t="s">
        <v>419</v>
      </c>
      <c r="G13" s="68" t="s">
        <v>644</v>
      </c>
      <c r="H13" s="26" t="str">
        <f>IF(F13="","",VLOOKUP(F13,Parts_Data!$X$2:$Y$102,2,FALSE))</f>
        <v>ECS-5205</v>
      </c>
      <c r="I13" s="64"/>
      <c r="J13" s="26" t="str">
        <f>IF(I13="","",VLOOKUP(I13,Parts_Data!$T$2:$U$102,2,FALSE))</f>
        <v/>
      </c>
      <c r="K13" s="64"/>
      <c r="L13" s="68"/>
      <c r="M13" s="26" t="str">
        <f>IF(K13="","",VLOOKUP(K13,Parts_Data!$X$2:$Y$102,2,FALSE))</f>
        <v/>
      </c>
      <c r="N13" s="64"/>
      <c r="O13" s="26" t="str">
        <f>IF(N13="","",VLOOKUP(N13,Parts_Data!$T$2:$U$102,2,FALSE))</f>
        <v/>
      </c>
      <c r="P13" s="64"/>
      <c r="Q13" s="68"/>
      <c r="R13" s="26" t="str">
        <f>IF(P13="","",VLOOKUP(P13,Parts_Data!$X$2:$Y$102,2,FALSE))</f>
        <v/>
      </c>
      <c r="S13" s="64"/>
      <c r="T13" s="26" t="str">
        <f>IF(S13="","",VLOOKUP(S13,Parts_Data!$T$2:$U$102,2,FALSE))</f>
        <v/>
      </c>
      <c r="U13" s="64"/>
      <c r="V13" s="68"/>
      <c r="W13" s="26" t="str">
        <f>IF(U13="","",VLOOKUP(U13,Parts_Data!$X$2:$Y$102,2,FALSE))</f>
        <v/>
      </c>
      <c r="X13" s="64"/>
      <c r="Y13" s="26" t="str">
        <f>IF(X13="","",VLOOKUP(X13,Parts_Data!$T$2:$U$102,2,FALSE))</f>
        <v/>
      </c>
      <c r="Z13" s="64"/>
      <c r="AA13" s="68"/>
      <c r="AB13" s="26" t="str">
        <f>IF(Z13="","",VLOOKUP(Z13,Parts_Data!$X$2:$Y$102,2,FALSE))</f>
        <v/>
      </c>
      <c r="AC13" s="64"/>
      <c r="AD13" s="26" t="str">
        <f>IF(AC13="","",VLOOKUP(AC13,Parts_Data!$T$2:$U$102,2,FALSE))</f>
        <v/>
      </c>
      <c r="AE13" s="64"/>
      <c r="AF13" s="68"/>
      <c r="AG13" s="26" t="str">
        <f>IF(AE13="","",VLOOKUP(AE13,Parts_Data!$X$2:$Y$102,2,FALSE))</f>
        <v/>
      </c>
    </row>
    <row r="14" spans="1:33" ht="15.6" x14ac:dyDescent="0.3">
      <c r="A14" s="147" t="s">
        <v>647</v>
      </c>
      <c r="B14" s="63" t="s">
        <v>165</v>
      </c>
      <c r="C14" s="97" t="s">
        <v>166</v>
      </c>
      <c r="D14" s="63"/>
      <c r="E14" s="27" t="str">
        <f>IF(D14="","",VLOOKUP(D14,Parts_Data!$T$2:$U$102,2,FALSE))</f>
        <v/>
      </c>
      <c r="F14" s="63" t="s">
        <v>442</v>
      </c>
      <c r="G14" s="67" t="s">
        <v>645</v>
      </c>
      <c r="H14" s="27">
        <f>IF(F14="","",VLOOKUP(F14,Parts_Data!$X$2:$Y$102,2,FALSE))</f>
        <v>65022</v>
      </c>
      <c r="I14" s="63"/>
      <c r="J14" s="27" t="str">
        <f>IF(I14="","",VLOOKUP(I14,Parts_Data!$T$2:$U$102,2,FALSE))</f>
        <v/>
      </c>
      <c r="K14" s="63"/>
      <c r="L14" s="67"/>
      <c r="M14" s="27" t="str">
        <f>IF(K14="","",VLOOKUP(K14,Parts_Data!$X$2:$Y$102,2,FALSE))</f>
        <v/>
      </c>
      <c r="N14" s="63"/>
      <c r="O14" s="27" t="str">
        <f>IF(N14="","",VLOOKUP(N14,Parts_Data!$T$2:$U$102,2,FALSE))</f>
        <v/>
      </c>
      <c r="P14" s="63"/>
      <c r="Q14" s="67"/>
      <c r="R14" s="27" t="str">
        <f>IF(P14="","",VLOOKUP(P14,Parts_Data!$X$2:$Y$102,2,FALSE))</f>
        <v/>
      </c>
      <c r="S14" s="63"/>
      <c r="T14" s="27" t="str">
        <f>IF(S14="","",VLOOKUP(S14,Parts_Data!$T$2:$U$102,2,FALSE))</f>
        <v/>
      </c>
      <c r="U14" s="63"/>
      <c r="V14" s="67"/>
      <c r="W14" s="27" t="str">
        <f>IF(U14="","",VLOOKUP(U14,Parts_Data!$X$2:$Y$102,2,FALSE))</f>
        <v/>
      </c>
      <c r="X14" s="63"/>
      <c r="Y14" s="27" t="str">
        <f>IF(X14="","",VLOOKUP(X14,Parts_Data!$T$2:$U$102,2,FALSE))</f>
        <v/>
      </c>
      <c r="Z14" s="63"/>
      <c r="AA14" s="67"/>
      <c r="AB14" s="27" t="str">
        <f>IF(Z14="","",VLOOKUP(Z14,Parts_Data!$X$2:$Y$102,2,FALSE))</f>
        <v/>
      </c>
      <c r="AC14" s="63"/>
      <c r="AD14" s="27" t="str">
        <f>IF(AC14="","",VLOOKUP(AC14,Parts_Data!$T$2:$U$102,2,FALSE))</f>
        <v/>
      </c>
      <c r="AE14" s="63"/>
      <c r="AF14" s="67"/>
      <c r="AG14" s="27" t="str">
        <f>IF(AE14="","",VLOOKUP(AE14,Parts_Data!$X$2:$Y$102,2,FALSE))</f>
        <v/>
      </c>
    </row>
    <row r="15" spans="1:33" ht="15.6" x14ac:dyDescent="0.3">
      <c r="A15" s="147" t="s">
        <v>294</v>
      </c>
      <c r="B15" s="64"/>
      <c r="C15" s="98"/>
      <c r="D15" s="64"/>
      <c r="E15" s="26" t="str">
        <f>IF(D15="","",VLOOKUP(D15,Parts_Data!$T$2:$U$102,2,FALSE))</f>
        <v/>
      </c>
      <c r="F15" s="64"/>
      <c r="G15" s="68"/>
      <c r="H15" s="26" t="str">
        <f>IF(F15="","",VLOOKUP(F15,Parts_Data!$X$2:$Y$102,2,FALSE))</f>
        <v/>
      </c>
      <c r="I15" s="64"/>
      <c r="J15" s="26" t="str">
        <f>IF(I15="","",VLOOKUP(I15,Parts_Data!$T$2:$U$102,2,FALSE))</f>
        <v/>
      </c>
      <c r="K15" s="64"/>
      <c r="L15" s="68"/>
      <c r="M15" s="26" t="str">
        <f>IF(K15="","",VLOOKUP(K15,Parts_Data!$X$2:$Y$102,2,FALSE))</f>
        <v/>
      </c>
      <c r="N15" s="64"/>
      <c r="O15" s="26" t="str">
        <f>IF(N15="","",VLOOKUP(N15,Parts_Data!$T$2:$U$102,2,FALSE))</f>
        <v/>
      </c>
      <c r="P15" s="64"/>
      <c r="Q15" s="68"/>
      <c r="R15" s="26" t="str">
        <f>IF(P15="","",VLOOKUP(P15,Parts_Data!$X$2:$Y$102,2,FALSE))</f>
        <v/>
      </c>
      <c r="S15" s="64"/>
      <c r="T15" s="26" t="str">
        <f>IF(S15="","",VLOOKUP(S15,Parts_Data!$T$2:$U$102,2,FALSE))</f>
        <v/>
      </c>
      <c r="U15" s="64"/>
      <c r="V15" s="68"/>
      <c r="W15" s="26" t="str">
        <f>IF(U15="","",VLOOKUP(U15,Parts_Data!$X$2:$Y$102,2,FALSE))</f>
        <v/>
      </c>
      <c r="X15" s="64"/>
      <c r="Y15" s="26" t="str">
        <f>IF(X15="","",VLOOKUP(X15,Parts_Data!$T$2:$U$102,2,FALSE))</f>
        <v/>
      </c>
      <c r="Z15" s="64"/>
      <c r="AA15" s="68"/>
      <c r="AB15" s="26" t="str">
        <f>IF(Z15="","",VLOOKUP(Z15,Parts_Data!$X$2:$Y$102,2,FALSE))</f>
        <v/>
      </c>
      <c r="AC15" s="64"/>
      <c r="AD15" s="26" t="str">
        <f>IF(AC15="","",VLOOKUP(AC15,Parts_Data!$T$2:$U$102,2,FALSE))</f>
        <v/>
      </c>
      <c r="AE15" s="64"/>
      <c r="AF15" s="68"/>
      <c r="AG15" s="26" t="str">
        <f>IF(AE15="","",VLOOKUP(AE15,Parts_Data!$X$2:$Y$102,2,FALSE))</f>
        <v/>
      </c>
    </row>
    <row r="16" spans="1:33" ht="15.6" x14ac:dyDescent="0.3">
      <c r="A16" s="147" t="s">
        <v>295</v>
      </c>
      <c r="B16" s="63"/>
      <c r="C16" s="97"/>
      <c r="D16" s="63"/>
      <c r="E16" s="27" t="str">
        <f>IF(D16="","",VLOOKUP(D16,Parts_Data!$T$2:$U$102,2,FALSE))</f>
        <v/>
      </c>
      <c r="F16" s="63"/>
      <c r="G16" s="67"/>
      <c r="H16" s="27" t="str">
        <f>IF(F16="","",VLOOKUP(F16,Parts_Data!$X$2:$Y$102,2,FALSE))</f>
        <v/>
      </c>
      <c r="I16" s="63"/>
      <c r="J16" s="27" t="str">
        <f>IF(I16="","",VLOOKUP(I16,Parts_Data!$T$2:$U$102,2,FALSE))</f>
        <v/>
      </c>
      <c r="K16" s="63"/>
      <c r="L16" s="67"/>
      <c r="M16" s="27" t="str">
        <f>IF(K16="","",VLOOKUP(K16,Parts_Data!$X$2:$Y$102,2,FALSE))</f>
        <v/>
      </c>
      <c r="N16" s="63"/>
      <c r="O16" s="27" t="str">
        <f>IF(N16="","",VLOOKUP(N16,Parts_Data!$T$2:$U$102,2,FALSE))</f>
        <v/>
      </c>
      <c r="P16" s="63"/>
      <c r="Q16" s="67"/>
      <c r="R16" s="27" t="str">
        <f>IF(P16="","",VLOOKUP(P16,Parts_Data!$X$2:$Y$102,2,FALSE))</f>
        <v/>
      </c>
      <c r="S16" s="63"/>
      <c r="T16" s="27" t="str">
        <f>IF(S16="","",VLOOKUP(S16,Parts_Data!$T$2:$U$102,2,FALSE))</f>
        <v/>
      </c>
      <c r="U16" s="63"/>
      <c r="V16" s="67"/>
      <c r="W16" s="27" t="str">
        <f>IF(U16="","",VLOOKUP(U16,Parts_Data!$X$2:$Y$102,2,FALSE))</f>
        <v/>
      </c>
      <c r="X16" s="63"/>
      <c r="Y16" s="27" t="str">
        <f>IF(X16="","",VLOOKUP(X16,Parts_Data!$T$2:$U$102,2,FALSE))</f>
        <v/>
      </c>
      <c r="Z16" s="63"/>
      <c r="AA16" s="67"/>
      <c r="AB16" s="27" t="str">
        <f>IF(Z16="","",VLOOKUP(Z16,Parts_Data!$X$2:$Y$102,2,FALSE))</f>
        <v/>
      </c>
      <c r="AC16" s="63"/>
      <c r="AD16" s="27" t="str">
        <f>IF(AC16="","",VLOOKUP(AC16,Parts_Data!$T$2:$U$102,2,FALSE))</f>
        <v/>
      </c>
      <c r="AE16" s="63"/>
      <c r="AF16" s="67"/>
      <c r="AG16" s="27" t="str">
        <f>IF(AE16="","",VLOOKUP(AE16,Parts_Data!$X$2:$Y$102,2,FALSE))</f>
        <v/>
      </c>
    </row>
    <row r="17" spans="1:33" ht="15.6" x14ac:dyDescent="0.3">
      <c r="A17" s="148" t="s">
        <v>296</v>
      </c>
      <c r="B17" s="64"/>
      <c r="C17" s="98"/>
      <c r="D17" s="64"/>
      <c r="E17" s="26" t="str">
        <f>IF(D17="","",VLOOKUP(D17,Parts_Data!$T$2:$U$102,2,FALSE))</f>
        <v/>
      </c>
      <c r="F17" s="64"/>
      <c r="G17" s="68"/>
      <c r="H17" s="26" t="str">
        <f>IF(F17="","",VLOOKUP(F17,Parts_Data!$X$2:$Y$102,2,FALSE))</f>
        <v/>
      </c>
      <c r="I17" s="64"/>
      <c r="J17" s="26" t="str">
        <f>IF(I17="","",VLOOKUP(I17,Parts_Data!$T$2:$U$102,2,FALSE))</f>
        <v/>
      </c>
      <c r="K17" s="64"/>
      <c r="L17" s="68"/>
      <c r="M17" s="26" t="str">
        <f>IF(K17="","",VLOOKUP(K17,Parts_Data!$X$2:$Y$102,2,FALSE))</f>
        <v/>
      </c>
      <c r="N17" s="64"/>
      <c r="O17" s="26" t="str">
        <f>IF(N17="","",VLOOKUP(N17,Parts_Data!$T$2:$U$102,2,FALSE))</f>
        <v/>
      </c>
      <c r="P17" s="64"/>
      <c r="Q17" s="68"/>
      <c r="R17" s="26" t="str">
        <f>IF(P17="","",VLOOKUP(P17,Parts_Data!$X$2:$Y$102,2,FALSE))</f>
        <v/>
      </c>
      <c r="S17" s="64"/>
      <c r="T17" s="26" t="str">
        <f>IF(S17="","",VLOOKUP(S17,Parts_Data!$T$2:$U$102,2,FALSE))</f>
        <v/>
      </c>
      <c r="U17" s="64"/>
      <c r="V17" s="68"/>
      <c r="W17" s="26" t="str">
        <f>IF(U17="","",VLOOKUP(U17,Parts_Data!$X$2:$Y$102,2,FALSE))</f>
        <v/>
      </c>
      <c r="X17" s="64"/>
      <c r="Y17" s="26" t="str">
        <f>IF(X17="","",VLOOKUP(X17,Parts_Data!$T$2:$U$102,2,FALSE))</f>
        <v/>
      </c>
      <c r="Z17" s="64"/>
      <c r="AA17" s="68"/>
      <c r="AB17" s="26" t="str">
        <f>IF(Z17="","",VLOOKUP(Z17,Parts_Data!$X$2:$Y$102,2,FALSE))</f>
        <v/>
      </c>
      <c r="AC17" s="64"/>
      <c r="AD17" s="26" t="str">
        <f>IF(AC17="","",VLOOKUP(AC17,Parts_Data!$T$2:$U$102,2,FALSE))</f>
        <v/>
      </c>
      <c r="AE17" s="64"/>
      <c r="AF17" s="68"/>
      <c r="AG17" s="26" t="str">
        <f>IF(AE17="","",VLOOKUP(AE17,Parts_Data!$X$2:$Y$102,2,FALSE))</f>
        <v/>
      </c>
    </row>
    <row r="18" spans="1:33" ht="15.6" x14ac:dyDescent="0.3">
      <c r="A18" s="148" t="s">
        <v>297</v>
      </c>
      <c r="B18" s="63"/>
      <c r="C18" s="97"/>
      <c r="D18" s="63"/>
      <c r="E18" s="27" t="str">
        <f>IF(D18="","",VLOOKUP(D18,Parts_Data!$T$2:$U$102,2,FALSE))</f>
        <v/>
      </c>
      <c r="F18" s="63"/>
      <c r="G18" s="67"/>
      <c r="H18" s="27" t="str">
        <f>IF(F18="","",VLOOKUP(F18,Parts_Data!$X$2:$Y$102,2,FALSE))</f>
        <v/>
      </c>
      <c r="I18" s="63"/>
      <c r="J18" s="27" t="str">
        <f>IF(I18="","",VLOOKUP(I18,Parts_Data!$T$2:$U$102,2,FALSE))</f>
        <v/>
      </c>
      <c r="K18" s="63"/>
      <c r="L18" s="67"/>
      <c r="M18" s="27" t="str">
        <f>IF(K18="","",VLOOKUP(K18,Parts_Data!$X$2:$Y$102,2,FALSE))</f>
        <v/>
      </c>
      <c r="N18" s="63"/>
      <c r="O18" s="27" t="str">
        <f>IF(N18="","",VLOOKUP(N18,Parts_Data!$T$2:$U$102,2,FALSE))</f>
        <v/>
      </c>
      <c r="P18" s="63"/>
      <c r="Q18" s="67"/>
      <c r="R18" s="27" t="str">
        <f>IF(P18="","",VLOOKUP(P18,Parts_Data!$X$2:$Y$102,2,FALSE))</f>
        <v/>
      </c>
      <c r="S18" s="63"/>
      <c r="T18" s="27" t="str">
        <f>IF(S18="","",VLOOKUP(S18,Parts_Data!$T$2:$U$102,2,FALSE))</f>
        <v/>
      </c>
      <c r="U18" s="63"/>
      <c r="V18" s="67"/>
      <c r="W18" s="27" t="str">
        <f>IF(U18="","",VLOOKUP(U18,Parts_Data!$X$2:$Y$102,2,FALSE))</f>
        <v/>
      </c>
      <c r="X18" s="63"/>
      <c r="Y18" s="27" t="str">
        <f>IF(X18="","",VLOOKUP(X18,Parts_Data!$T$2:$U$102,2,FALSE))</f>
        <v/>
      </c>
      <c r="Z18" s="63"/>
      <c r="AA18" s="67"/>
      <c r="AB18" s="27" t="str">
        <f>IF(Z18="","",VLOOKUP(Z18,Parts_Data!$X$2:$Y$102,2,FALSE))</f>
        <v/>
      </c>
      <c r="AC18" s="63"/>
      <c r="AD18" s="27" t="str">
        <f>IF(AC18="","",VLOOKUP(AC18,Parts_Data!$T$2:$U$102,2,FALSE))</f>
        <v/>
      </c>
      <c r="AE18" s="63"/>
      <c r="AF18" s="67"/>
      <c r="AG18" s="27" t="str">
        <f>IF(AE18="","",VLOOKUP(AE18,Parts_Data!$X$2:$Y$102,2,FALSE))</f>
        <v/>
      </c>
    </row>
    <row r="19" spans="1:33" ht="15.6" x14ac:dyDescent="0.3">
      <c r="A19" s="148" t="s">
        <v>298</v>
      </c>
      <c r="B19" s="64"/>
      <c r="C19" s="98"/>
      <c r="D19" s="64"/>
      <c r="E19" s="26" t="str">
        <f>IF(D19="","",VLOOKUP(D19,Parts_Data!$T$2:$U$102,2,FALSE))</f>
        <v/>
      </c>
      <c r="F19" s="64"/>
      <c r="G19" s="68"/>
      <c r="H19" s="26" t="str">
        <f>IF(F19="","",VLOOKUP(F19,Parts_Data!$X$2:$Y$102,2,FALSE))</f>
        <v/>
      </c>
      <c r="I19" s="64"/>
      <c r="J19" s="26" t="str">
        <f>IF(I19="","",VLOOKUP(I19,Parts_Data!$T$2:$U$102,2,FALSE))</f>
        <v/>
      </c>
      <c r="K19" s="64"/>
      <c r="L19" s="68"/>
      <c r="M19" s="26" t="str">
        <f>IF(K19="","",VLOOKUP(K19,Parts_Data!$X$2:$Y$102,2,FALSE))</f>
        <v/>
      </c>
      <c r="N19" s="64"/>
      <c r="O19" s="26" t="str">
        <f>IF(N19="","",VLOOKUP(N19,Parts_Data!$T$2:$U$102,2,FALSE))</f>
        <v/>
      </c>
      <c r="P19" s="64"/>
      <c r="Q19" s="68"/>
      <c r="R19" s="26" t="str">
        <f>IF(P19="","",VLOOKUP(P19,Parts_Data!$X$2:$Y$102,2,FALSE))</f>
        <v/>
      </c>
      <c r="S19" s="64"/>
      <c r="T19" s="26" t="str">
        <f>IF(S19="","",VLOOKUP(S19,Parts_Data!$T$2:$U$102,2,FALSE))</f>
        <v/>
      </c>
      <c r="U19" s="64"/>
      <c r="V19" s="68"/>
      <c r="W19" s="26" t="str">
        <f>IF(U19="","",VLOOKUP(U19,Parts_Data!$X$2:$Y$102,2,FALSE))</f>
        <v/>
      </c>
      <c r="X19" s="64"/>
      <c r="Y19" s="26" t="str">
        <f>IF(X19="","",VLOOKUP(X19,Parts_Data!$T$2:$U$102,2,FALSE))</f>
        <v/>
      </c>
      <c r="Z19" s="64"/>
      <c r="AA19" s="68"/>
      <c r="AB19" s="26" t="str">
        <f>IF(Z19="","",VLOOKUP(Z19,Parts_Data!$X$2:$Y$102,2,FALSE))</f>
        <v/>
      </c>
      <c r="AC19" s="64"/>
      <c r="AD19" s="26" t="str">
        <f>IF(AC19="","",VLOOKUP(AC19,Parts_Data!$T$2:$U$102,2,FALSE))</f>
        <v/>
      </c>
      <c r="AE19" s="64"/>
      <c r="AF19" s="68"/>
      <c r="AG19" s="26" t="str">
        <f>IF(AE19="","",VLOOKUP(AE19,Parts_Data!$X$2:$Y$102,2,FALSE))</f>
        <v/>
      </c>
    </row>
    <row r="20" spans="1:33" ht="15.6" x14ac:dyDescent="0.3">
      <c r="A20" s="148" t="s">
        <v>299</v>
      </c>
      <c r="B20" s="63"/>
      <c r="C20" s="97"/>
      <c r="D20" s="63"/>
      <c r="E20" s="27" t="str">
        <f>IF(D20="","",VLOOKUP(D20,Parts_Data!$T$2:$U$102,2,FALSE))</f>
        <v/>
      </c>
      <c r="F20" s="63"/>
      <c r="G20" s="67"/>
      <c r="H20" s="27" t="str">
        <f>IF(F20="","",VLOOKUP(F20,Parts_Data!$X$2:$Y$102,2,FALSE))</f>
        <v/>
      </c>
      <c r="I20" s="63"/>
      <c r="J20" s="27" t="str">
        <f>IF(I20="","",VLOOKUP(I20,Parts_Data!$T$2:$U$102,2,FALSE))</f>
        <v/>
      </c>
      <c r="K20" s="63"/>
      <c r="L20" s="67"/>
      <c r="M20" s="27" t="str">
        <f>IF(K20="","",VLOOKUP(K20,Parts_Data!$X$2:$Y$102,2,FALSE))</f>
        <v/>
      </c>
      <c r="N20" s="63"/>
      <c r="O20" s="27" t="str">
        <f>IF(N20="","",VLOOKUP(N20,Parts_Data!$T$2:$U$102,2,FALSE))</f>
        <v/>
      </c>
      <c r="P20" s="63"/>
      <c r="Q20" s="67"/>
      <c r="R20" s="27" t="str">
        <f>IF(P20="","",VLOOKUP(P20,Parts_Data!$X$2:$Y$102,2,FALSE))</f>
        <v/>
      </c>
      <c r="S20" s="63"/>
      <c r="T20" s="27" t="str">
        <f>IF(S20="","",VLOOKUP(S20,Parts_Data!$T$2:$U$102,2,FALSE))</f>
        <v/>
      </c>
      <c r="U20" s="63"/>
      <c r="V20" s="67"/>
      <c r="W20" s="27" t="str">
        <f>IF(U20="","",VLOOKUP(U20,Parts_Data!$X$2:$Y$102,2,FALSE))</f>
        <v/>
      </c>
      <c r="X20" s="63"/>
      <c r="Y20" s="27" t="str">
        <f>IF(X20="","",VLOOKUP(X20,Parts_Data!$T$2:$U$102,2,FALSE))</f>
        <v/>
      </c>
      <c r="Z20" s="63"/>
      <c r="AA20" s="67"/>
      <c r="AB20" s="27" t="str">
        <f>IF(Z20="","",VLOOKUP(Z20,Parts_Data!$X$2:$Y$102,2,FALSE))</f>
        <v/>
      </c>
      <c r="AC20" s="63"/>
      <c r="AD20" s="27" t="str">
        <f>IF(AC20="","",VLOOKUP(AC20,Parts_Data!$T$2:$U$102,2,FALSE))</f>
        <v/>
      </c>
      <c r="AE20" s="63"/>
      <c r="AF20" s="67"/>
      <c r="AG20" s="27" t="str">
        <f>IF(AE20="","",VLOOKUP(AE20,Parts_Data!$X$2:$Y$102,2,FALSE))</f>
        <v/>
      </c>
    </row>
    <row r="21" spans="1:33" ht="15.6" x14ac:dyDescent="0.3">
      <c r="A21" s="148" t="s">
        <v>300</v>
      </c>
      <c r="B21" s="64"/>
      <c r="C21" s="98"/>
      <c r="D21" s="64"/>
      <c r="E21" s="26" t="str">
        <f>IF(D21="","",VLOOKUP(D21,Parts_Data!$T$2:$U$102,2,FALSE))</f>
        <v/>
      </c>
      <c r="F21" s="64"/>
      <c r="G21" s="68"/>
      <c r="H21" s="26" t="str">
        <f>IF(F21="","",VLOOKUP(F21,Parts_Data!$X$2:$Y$102,2,FALSE))</f>
        <v/>
      </c>
      <c r="I21" s="64"/>
      <c r="J21" s="26" t="str">
        <f>IF(I21="","",VLOOKUP(I21,Parts_Data!$T$2:$U$102,2,FALSE))</f>
        <v/>
      </c>
      <c r="K21" s="64"/>
      <c r="L21" s="68"/>
      <c r="M21" s="26" t="str">
        <f>IF(K21="","",VLOOKUP(K21,Parts_Data!$X$2:$Y$102,2,FALSE))</f>
        <v/>
      </c>
      <c r="N21" s="64"/>
      <c r="O21" s="26" t="str">
        <f>IF(N21="","",VLOOKUP(N21,Parts_Data!$T$2:$U$102,2,FALSE))</f>
        <v/>
      </c>
      <c r="P21" s="64"/>
      <c r="Q21" s="68"/>
      <c r="R21" s="26" t="str">
        <f>IF(P21="","",VLOOKUP(P21,Parts_Data!$X$2:$Y$102,2,FALSE))</f>
        <v/>
      </c>
      <c r="S21" s="64"/>
      <c r="T21" s="26" t="str">
        <f>IF(S21="","",VLOOKUP(S21,Parts_Data!$T$2:$U$102,2,FALSE))</f>
        <v/>
      </c>
      <c r="U21" s="64"/>
      <c r="V21" s="68"/>
      <c r="W21" s="26" t="str">
        <f>IF(U21="","",VLOOKUP(U21,Parts_Data!$X$2:$Y$102,2,FALSE))</f>
        <v/>
      </c>
      <c r="X21" s="64"/>
      <c r="Y21" s="26" t="str">
        <f>IF(X21="","",VLOOKUP(X21,Parts_Data!$T$2:$U$102,2,FALSE))</f>
        <v/>
      </c>
      <c r="Z21" s="64"/>
      <c r="AA21" s="68"/>
      <c r="AB21" s="26" t="str">
        <f>IF(Z21="","",VLOOKUP(Z21,Parts_Data!$X$2:$Y$102,2,FALSE))</f>
        <v/>
      </c>
      <c r="AC21" s="64"/>
      <c r="AD21" s="26" t="str">
        <f>IF(AC21="","",VLOOKUP(AC21,Parts_Data!$T$2:$U$102,2,FALSE))</f>
        <v/>
      </c>
      <c r="AE21" s="64"/>
      <c r="AF21" s="68"/>
      <c r="AG21" s="26" t="str">
        <f>IF(AE21="","",VLOOKUP(AE21,Parts_Data!$X$2:$Y$102,2,FALSE))</f>
        <v/>
      </c>
    </row>
    <row r="22" spans="1:33" ht="15.6" x14ac:dyDescent="0.3">
      <c r="A22" s="148" t="s">
        <v>301</v>
      </c>
      <c r="B22" s="63"/>
      <c r="C22" s="97"/>
      <c r="D22" s="63"/>
      <c r="E22" s="27" t="str">
        <f>IF(D22="","",VLOOKUP(D22,Parts_Data!$T$2:$U$102,2,FALSE))</f>
        <v/>
      </c>
      <c r="F22" s="63"/>
      <c r="G22" s="67"/>
      <c r="H22" s="27" t="str">
        <f>IF(F22="","",VLOOKUP(F22,Parts_Data!$X$2:$Y$102,2,FALSE))</f>
        <v/>
      </c>
      <c r="I22" s="63"/>
      <c r="J22" s="27" t="str">
        <f>IF(I22="","",VLOOKUP(I22,Parts_Data!$T$2:$U$102,2,FALSE))</f>
        <v/>
      </c>
      <c r="K22" s="63"/>
      <c r="L22" s="67"/>
      <c r="M22" s="27" t="str">
        <f>IF(K22="","",VLOOKUP(K22,Parts_Data!$X$2:$Y$102,2,FALSE))</f>
        <v/>
      </c>
      <c r="N22" s="63"/>
      <c r="O22" s="27" t="str">
        <f>IF(N22="","",VLOOKUP(N22,Parts_Data!$T$2:$U$102,2,FALSE))</f>
        <v/>
      </c>
      <c r="P22" s="63"/>
      <c r="Q22" s="67"/>
      <c r="R22" s="27" t="str">
        <f>IF(P22="","",VLOOKUP(P22,Parts_Data!$X$2:$Y$102,2,FALSE))</f>
        <v/>
      </c>
      <c r="S22" s="63"/>
      <c r="T22" s="27" t="str">
        <f>IF(S22="","",VLOOKUP(S22,Parts_Data!$T$2:$U$102,2,FALSE))</f>
        <v/>
      </c>
      <c r="U22" s="63"/>
      <c r="V22" s="67"/>
      <c r="W22" s="27" t="str">
        <f>IF(U22="","",VLOOKUP(U22,Parts_Data!$X$2:$Y$102,2,FALSE))</f>
        <v/>
      </c>
      <c r="X22" s="63"/>
      <c r="Y22" s="27" t="str">
        <f>IF(X22="","",VLOOKUP(X22,Parts_Data!$T$2:$U$102,2,FALSE))</f>
        <v/>
      </c>
      <c r="Z22" s="63"/>
      <c r="AA22" s="67"/>
      <c r="AB22" s="27" t="str">
        <f>IF(Z22="","",VLOOKUP(Z22,Parts_Data!$X$2:$Y$102,2,FALSE))</f>
        <v/>
      </c>
      <c r="AC22" s="63"/>
      <c r="AD22" s="27" t="str">
        <f>IF(AC22="","",VLOOKUP(AC22,Parts_Data!$T$2:$U$102,2,FALSE))</f>
        <v/>
      </c>
      <c r="AE22" s="63"/>
      <c r="AF22" s="67"/>
      <c r="AG22" s="27" t="str">
        <f>IF(AE22="","",VLOOKUP(AE22,Parts_Data!$X$2:$Y$102,2,FALSE))</f>
        <v/>
      </c>
    </row>
    <row r="23" spans="1:33" ht="15.6" x14ac:dyDescent="0.3">
      <c r="A23" s="149" t="s">
        <v>650</v>
      </c>
      <c r="B23" s="64" t="s">
        <v>165</v>
      </c>
      <c r="C23" s="98"/>
      <c r="D23" s="64"/>
      <c r="E23" s="26" t="str">
        <f>IF(D23="","",VLOOKUP(D23,Parts_Data!$T$2:$U$102,2,FALSE))</f>
        <v/>
      </c>
      <c r="F23" s="64" t="s">
        <v>461</v>
      </c>
      <c r="G23" s="68" t="s">
        <v>656</v>
      </c>
      <c r="H23" s="26">
        <f>IF(F23="","",VLOOKUP(F23,Parts_Data!$X$2:$Y$102,2,FALSE))</f>
        <v>14115</v>
      </c>
      <c r="I23" s="64"/>
      <c r="J23" s="26" t="str">
        <f>IF(I23="","",VLOOKUP(I23,Parts_Data!$T$2:$U$102,2,FALSE))</f>
        <v/>
      </c>
      <c r="K23" s="64" t="s">
        <v>380</v>
      </c>
      <c r="L23" s="68" t="s">
        <v>655</v>
      </c>
      <c r="M23" s="26" t="str">
        <f>IF(K23="","",VLOOKUP(K23,Parts_Data!$X$2:$Y$102,2,FALSE))</f>
        <v>EC-G16-EMS-PCO-7BUSRAIL</v>
      </c>
      <c r="N23" s="64"/>
      <c r="O23" s="26" t="str">
        <f>IF(N23="","",VLOOKUP(N23,Parts_Data!$T$2:$U$102,2,FALSE))</f>
        <v/>
      </c>
      <c r="P23" s="64"/>
      <c r="Q23" s="68"/>
      <c r="R23" s="26" t="str">
        <f>IF(P23="","",VLOOKUP(P23,Parts_Data!$X$2:$Y$102,2,FALSE))</f>
        <v/>
      </c>
      <c r="S23" s="64"/>
      <c r="T23" s="26" t="str">
        <f>IF(S23="","",VLOOKUP(S23,Parts_Data!$T$2:$U$102,2,FALSE))</f>
        <v/>
      </c>
      <c r="U23" s="64"/>
      <c r="V23" s="68"/>
      <c r="W23" s="26" t="str">
        <f>IF(U23="","",VLOOKUP(U23,Parts_Data!$X$2:$Y$102,2,FALSE))</f>
        <v/>
      </c>
      <c r="X23" s="64"/>
      <c r="Y23" s="26" t="str">
        <f>IF(X23="","",VLOOKUP(X23,Parts_Data!$T$2:$U$102,2,FALSE))</f>
        <v/>
      </c>
      <c r="Z23" s="64"/>
      <c r="AA23" s="68"/>
      <c r="AB23" s="26" t="str">
        <f>IF(Z23="","",VLOOKUP(Z23,Parts_Data!$X$2:$Y$102,2,FALSE))</f>
        <v/>
      </c>
      <c r="AC23" s="64"/>
      <c r="AD23" s="26" t="str">
        <f>IF(AC23="","",VLOOKUP(AC23,Parts_Data!$T$2:$U$102,2,FALSE))</f>
        <v/>
      </c>
      <c r="AE23" s="64"/>
      <c r="AF23" s="68"/>
      <c r="AG23" s="26" t="str">
        <f>IF(AE23="","",VLOOKUP(AE23,Parts_Data!$X$2:$Y$102,2,FALSE))</f>
        <v/>
      </c>
    </row>
    <row r="24" spans="1:33" ht="15.6" x14ac:dyDescent="0.3">
      <c r="A24" s="149" t="s">
        <v>157</v>
      </c>
      <c r="B24" s="63"/>
      <c r="C24" s="97"/>
      <c r="D24" s="63"/>
      <c r="E24" s="27" t="str">
        <f>IF(D24="","",VLOOKUP(D24,Parts_Data!$T$2:$U$102,2,FALSE))</f>
        <v/>
      </c>
      <c r="F24" s="63"/>
      <c r="G24" s="67"/>
      <c r="H24" s="27" t="str">
        <f>IF(F24="","",VLOOKUP(F24,Parts_Data!$X$2:$Y$102,2,FALSE))</f>
        <v/>
      </c>
      <c r="I24" s="63"/>
      <c r="J24" s="27" t="str">
        <f>IF(I24="","",VLOOKUP(I24,Parts_Data!$T$2:$U$102,2,FALSE))</f>
        <v/>
      </c>
      <c r="K24" s="63"/>
      <c r="L24" s="67"/>
      <c r="M24" s="27" t="str">
        <f>IF(K24="","",VLOOKUP(K24,Parts_Data!$X$2:$Y$102,2,FALSE))</f>
        <v/>
      </c>
      <c r="N24" s="63"/>
      <c r="O24" s="27" t="str">
        <f>IF(N24="","",VLOOKUP(N24,Parts_Data!$T$2:$U$102,2,FALSE))</f>
        <v/>
      </c>
      <c r="P24" s="63"/>
      <c r="Q24" s="67"/>
      <c r="R24" s="27" t="str">
        <f>IF(P24="","",VLOOKUP(P24,Parts_Data!$X$2:$Y$102,2,FALSE))</f>
        <v/>
      </c>
      <c r="S24" s="63"/>
      <c r="T24" s="27" t="str">
        <f>IF(S24="","",VLOOKUP(S24,Parts_Data!$T$2:$U$102,2,FALSE))</f>
        <v/>
      </c>
      <c r="U24" s="63"/>
      <c r="V24" s="67"/>
      <c r="W24" s="27" t="str">
        <f>IF(U24="","",VLOOKUP(U24,Parts_Data!$X$2:$Y$102,2,FALSE))</f>
        <v/>
      </c>
      <c r="X24" s="63"/>
      <c r="Y24" s="27" t="str">
        <f>IF(X24="","",VLOOKUP(X24,Parts_Data!$T$2:$U$102,2,FALSE))</f>
        <v/>
      </c>
      <c r="Z24" s="63"/>
      <c r="AA24" s="67"/>
      <c r="AB24" s="27" t="str">
        <f>IF(Z24="","",VLOOKUP(Z24,Parts_Data!$X$2:$Y$102,2,FALSE))</f>
        <v/>
      </c>
      <c r="AC24" s="63"/>
      <c r="AD24" s="27" t="str">
        <f>IF(AC24="","",VLOOKUP(AC24,Parts_Data!$T$2:$U$102,2,FALSE))</f>
        <v/>
      </c>
      <c r="AE24" s="63"/>
      <c r="AF24" s="67"/>
      <c r="AG24" s="27" t="str">
        <f>IF(AE24="","",VLOOKUP(AE24,Parts_Data!$X$2:$Y$102,2,FALSE))</f>
        <v/>
      </c>
    </row>
    <row r="25" spans="1:33" ht="15.6" x14ac:dyDescent="0.3">
      <c r="A25" s="149" t="s">
        <v>158</v>
      </c>
      <c r="B25" s="64"/>
      <c r="C25" s="98"/>
      <c r="D25" s="64"/>
      <c r="E25" s="26" t="str">
        <f>IF(D25="","",VLOOKUP(D25,Parts_Data!$T$2:$U$102,2,FALSE))</f>
        <v/>
      </c>
      <c r="F25" s="64"/>
      <c r="G25" s="68"/>
      <c r="H25" s="26" t="str">
        <f>IF(F25="","",VLOOKUP(F25,Parts_Data!$X$2:$Y$102,2,FALSE))</f>
        <v/>
      </c>
      <c r="I25" s="64"/>
      <c r="J25" s="26" t="str">
        <f>IF(I25="","",VLOOKUP(I25,Parts_Data!$T$2:$U$102,2,FALSE))</f>
        <v/>
      </c>
      <c r="K25" s="64"/>
      <c r="L25" s="68"/>
      <c r="M25" s="26" t="str">
        <f>IF(K25="","",VLOOKUP(K25,Parts_Data!$X$2:$Y$102,2,FALSE))</f>
        <v/>
      </c>
      <c r="N25" s="64"/>
      <c r="O25" s="26" t="str">
        <f>IF(N25="","",VLOOKUP(N25,Parts_Data!$T$2:$U$102,2,FALSE))</f>
        <v/>
      </c>
      <c r="P25" s="64"/>
      <c r="Q25" s="68"/>
      <c r="R25" s="26" t="str">
        <f>IF(P25="","",VLOOKUP(P25,Parts_Data!$X$2:$Y$102,2,FALSE))</f>
        <v/>
      </c>
      <c r="S25" s="64"/>
      <c r="T25" s="26" t="str">
        <f>IF(S25="","",VLOOKUP(S25,Parts_Data!$T$2:$U$102,2,FALSE))</f>
        <v/>
      </c>
      <c r="U25" s="64"/>
      <c r="V25" s="68"/>
      <c r="W25" s="26" t="str">
        <f>IF(U25="","",VLOOKUP(U25,Parts_Data!$X$2:$Y$102,2,FALSE))</f>
        <v/>
      </c>
      <c r="X25" s="64"/>
      <c r="Y25" s="26" t="str">
        <f>IF(X25="","",VLOOKUP(X25,Parts_Data!$T$2:$U$102,2,FALSE))</f>
        <v/>
      </c>
      <c r="Z25" s="64"/>
      <c r="AA25" s="68"/>
      <c r="AB25" s="26" t="str">
        <f>IF(Z25="","",VLOOKUP(Z25,Parts_Data!$X$2:$Y$102,2,FALSE))</f>
        <v/>
      </c>
      <c r="AC25" s="64"/>
      <c r="AD25" s="26" t="str">
        <f>IF(AC25="","",VLOOKUP(AC25,Parts_Data!$T$2:$U$102,2,FALSE))</f>
        <v/>
      </c>
      <c r="AE25" s="64"/>
      <c r="AF25" s="68"/>
      <c r="AG25" s="26" t="str">
        <f>IF(AE25="","",VLOOKUP(AE25,Parts_Data!$X$2:$Y$102,2,FALSE))</f>
        <v/>
      </c>
    </row>
    <row r="26" spans="1:33" ht="15.6" x14ac:dyDescent="0.3">
      <c r="A26" s="149" t="s">
        <v>159</v>
      </c>
      <c r="B26" s="63"/>
      <c r="C26" s="97"/>
      <c r="D26" s="63"/>
      <c r="E26" s="27" t="str">
        <f>IF(D26="","",VLOOKUP(D26,Parts_Data!$T$2:$U$102,2,FALSE))</f>
        <v/>
      </c>
      <c r="F26" s="63"/>
      <c r="G26" s="67"/>
      <c r="H26" s="27" t="str">
        <f>IF(F26="","",VLOOKUP(F26,Parts_Data!$X$2:$Y$102,2,FALSE))</f>
        <v/>
      </c>
      <c r="I26" s="63"/>
      <c r="J26" s="27" t="str">
        <f>IF(I26="","",VLOOKUP(I26,Parts_Data!$T$2:$U$102,2,FALSE))</f>
        <v/>
      </c>
      <c r="K26" s="63"/>
      <c r="L26" s="67"/>
      <c r="M26" s="27" t="str">
        <f>IF(K26="","",VLOOKUP(K26,Parts_Data!$X$2:$Y$102,2,FALSE))</f>
        <v/>
      </c>
      <c r="N26" s="63"/>
      <c r="O26" s="27" t="str">
        <f>IF(N26="","",VLOOKUP(N26,Parts_Data!$T$2:$U$102,2,FALSE))</f>
        <v/>
      </c>
      <c r="P26" s="63"/>
      <c r="Q26" s="67"/>
      <c r="R26" s="27" t="str">
        <f>IF(P26="","",VLOOKUP(P26,Parts_Data!$X$2:$Y$102,2,FALSE))</f>
        <v/>
      </c>
      <c r="S26" s="63"/>
      <c r="T26" s="27" t="str">
        <f>IF(S26="","",VLOOKUP(S26,Parts_Data!$T$2:$U$102,2,FALSE))</f>
        <v/>
      </c>
      <c r="U26" s="63"/>
      <c r="V26" s="67"/>
      <c r="W26" s="27" t="str">
        <f>IF(U26="","",VLOOKUP(U26,Parts_Data!$X$2:$Y$102,2,FALSE))</f>
        <v/>
      </c>
      <c r="X26" s="63"/>
      <c r="Y26" s="27" t="str">
        <f>IF(X26="","",VLOOKUP(X26,Parts_Data!$T$2:$U$102,2,FALSE))</f>
        <v/>
      </c>
      <c r="Z26" s="63"/>
      <c r="AA26" s="67"/>
      <c r="AB26" s="27" t="str">
        <f>IF(Z26="","",VLOOKUP(Z26,Parts_Data!$X$2:$Y$102,2,FALSE))</f>
        <v/>
      </c>
      <c r="AC26" s="63"/>
      <c r="AD26" s="27" t="str">
        <f>IF(AC26="","",VLOOKUP(AC26,Parts_Data!$T$2:$U$102,2,FALSE))</f>
        <v/>
      </c>
      <c r="AE26" s="63"/>
      <c r="AF26" s="67"/>
      <c r="AG26" s="27" t="str">
        <f>IF(AE26="","",VLOOKUP(AE26,Parts_Data!$X$2:$Y$102,2,FALSE))</f>
        <v/>
      </c>
    </row>
    <row r="27" spans="1:33" ht="15.6" x14ac:dyDescent="0.3">
      <c r="A27" s="149" t="s">
        <v>160</v>
      </c>
      <c r="B27" s="64"/>
      <c r="C27" s="98"/>
      <c r="D27" s="64"/>
      <c r="E27" s="26" t="str">
        <f>IF(D27="","",VLOOKUP(D27,Parts_Data!$T$2:$U$102,2,FALSE))</f>
        <v/>
      </c>
      <c r="F27" s="64"/>
      <c r="G27" s="68"/>
      <c r="H27" s="26" t="str">
        <f>IF(F27="","",VLOOKUP(F27,Parts_Data!$X$2:$Y$102,2,FALSE))</f>
        <v/>
      </c>
      <c r="I27" s="64"/>
      <c r="J27" s="26" t="str">
        <f>IF(I27="","",VLOOKUP(I27,Parts_Data!$T$2:$U$102,2,FALSE))</f>
        <v/>
      </c>
      <c r="K27" s="64"/>
      <c r="L27" s="68"/>
      <c r="M27" s="26" t="str">
        <f>IF(K27="","",VLOOKUP(K27,Parts_Data!$X$2:$Y$102,2,FALSE))</f>
        <v/>
      </c>
      <c r="N27" s="64"/>
      <c r="O27" s="26" t="str">
        <f>IF(N27="","",VLOOKUP(N27,Parts_Data!$T$2:$U$102,2,FALSE))</f>
        <v/>
      </c>
      <c r="P27" s="64"/>
      <c r="Q27" s="68"/>
      <c r="R27" s="26" t="str">
        <f>IF(P27="","",VLOOKUP(P27,Parts_Data!$X$2:$Y$102,2,FALSE))</f>
        <v/>
      </c>
      <c r="S27" s="64"/>
      <c r="T27" s="26" t="str">
        <f>IF(S27="","",VLOOKUP(S27,Parts_Data!$T$2:$U$102,2,FALSE))</f>
        <v/>
      </c>
      <c r="U27" s="64"/>
      <c r="V27" s="68"/>
      <c r="W27" s="26" t="str">
        <f>IF(U27="","",VLOOKUP(U27,Parts_Data!$X$2:$Y$102,2,FALSE))</f>
        <v/>
      </c>
      <c r="X27" s="64"/>
      <c r="Y27" s="26" t="str">
        <f>IF(X27="","",VLOOKUP(X27,Parts_Data!$T$2:$U$102,2,FALSE))</f>
        <v/>
      </c>
      <c r="Z27" s="64"/>
      <c r="AA27" s="68"/>
      <c r="AB27" s="26" t="str">
        <f>IF(Z27="","",VLOOKUP(Z27,Parts_Data!$X$2:$Y$102,2,FALSE))</f>
        <v/>
      </c>
      <c r="AC27" s="64"/>
      <c r="AD27" s="26" t="str">
        <f>IF(AC27="","",VLOOKUP(AC27,Parts_Data!$T$2:$U$102,2,FALSE))</f>
        <v/>
      </c>
      <c r="AE27" s="64"/>
      <c r="AF27" s="68"/>
      <c r="AG27" s="26" t="str">
        <f>IF(AE27="","",VLOOKUP(AE27,Parts_Data!$X$2:$Y$102,2,FALSE))</f>
        <v/>
      </c>
    </row>
    <row r="28" spans="1:33" ht="15.6" x14ac:dyDescent="0.3">
      <c r="A28" s="149" t="s">
        <v>161</v>
      </c>
      <c r="B28" s="63"/>
      <c r="C28" s="97"/>
      <c r="D28" s="63"/>
      <c r="E28" s="27" t="str">
        <f>IF(D28="","",VLOOKUP(D28,Parts_Data!$T$2:$U$102,2,FALSE))</f>
        <v/>
      </c>
      <c r="F28" s="63"/>
      <c r="G28" s="67"/>
      <c r="H28" s="27" t="str">
        <f>IF(F28="","",VLOOKUP(F28,Parts_Data!$X$2:$Y$102,2,FALSE))</f>
        <v/>
      </c>
      <c r="I28" s="63"/>
      <c r="J28" s="27" t="str">
        <f>IF(I28="","",VLOOKUP(I28,Parts_Data!$T$2:$U$102,2,FALSE))</f>
        <v/>
      </c>
      <c r="K28" s="63"/>
      <c r="L28" s="67"/>
      <c r="M28" s="27" t="str">
        <f>IF(K28="","",VLOOKUP(K28,Parts_Data!$X$2:$Y$102,2,FALSE))</f>
        <v/>
      </c>
      <c r="N28" s="63"/>
      <c r="O28" s="27" t="str">
        <f>IF(N28="","",VLOOKUP(N28,Parts_Data!$T$2:$U$102,2,FALSE))</f>
        <v/>
      </c>
      <c r="P28" s="63"/>
      <c r="Q28" s="67"/>
      <c r="R28" s="27" t="str">
        <f>IF(P28="","",VLOOKUP(P28,Parts_Data!$X$2:$Y$102,2,FALSE))</f>
        <v/>
      </c>
      <c r="S28" s="63"/>
      <c r="T28" s="27" t="str">
        <f>IF(S28="","",VLOOKUP(S28,Parts_Data!$T$2:$U$102,2,FALSE))</f>
        <v/>
      </c>
      <c r="U28" s="63"/>
      <c r="V28" s="67"/>
      <c r="W28" s="27" t="str">
        <f>IF(U28="","",VLOOKUP(U28,Parts_Data!$X$2:$Y$102,2,FALSE))</f>
        <v/>
      </c>
      <c r="X28" s="63"/>
      <c r="Y28" s="27" t="str">
        <f>IF(X28="","",VLOOKUP(X28,Parts_Data!$T$2:$U$102,2,FALSE))</f>
        <v/>
      </c>
      <c r="Z28" s="63"/>
      <c r="AA28" s="67"/>
      <c r="AB28" s="27" t="str">
        <f>IF(Z28="","",VLOOKUP(Z28,Parts_Data!$X$2:$Y$102,2,FALSE))</f>
        <v/>
      </c>
      <c r="AC28" s="63"/>
      <c r="AD28" s="27" t="str">
        <f>IF(AC28="","",VLOOKUP(AC28,Parts_Data!$T$2:$U$102,2,FALSE))</f>
        <v/>
      </c>
      <c r="AE28" s="63"/>
      <c r="AF28" s="67"/>
      <c r="AG28" s="27" t="str">
        <f>IF(AE28="","",VLOOKUP(AE28,Parts_Data!$X$2:$Y$102,2,FALSE))</f>
        <v/>
      </c>
    </row>
    <row r="29" spans="1:33" ht="15.6" x14ac:dyDescent="0.3">
      <c r="A29" s="149" t="s">
        <v>177</v>
      </c>
      <c r="B29" s="64"/>
      <c r="C29" s="98"/>
      <c r="D29" s="64"/>
      <c r="E29" s="26" t="str">
        <f>IF(D29="","",VLOOKUP(D29,Parts_Data!$T$2:$U$102,2,FALSE))</f>
        <v/>
      </c>
      <c r="F29" s="64"/>
      <c r="G29" s="68"/>
      <c r="H29" s="26" t="str">
        <f>IF(F29="","",VLOOKUP(F29,Parts_Data!$X$2:$Y$102,2,FALSE))</f>
        <v/>
      </c>
      <c r="I29" s="64"/>
      <c r="J29" s="26" t="str">
        <f>IF(I29="","",VLOOKUP(I29,Parts_Data!$T$2:$U$102,2,FALSE))</f>
        <v/>
      </c>
      <c r="K29" s="64"/>
      <c r="L29" s="68"/>
      <c r="M29" s="26" t="str">
        <f>IF(K29="","",VLOOKUP(K29,Parts_Data!$X$2:$Y$102,2,FALSE))</f>
        <v/>
      </c>
      <c r="N29" s="64"/>
      <c r="O29" s="26" t="str">
        <f>IF(N29="","",VLOOKUP(N29,Parts_Data!$T$2:$U$102,2,FALSE))</f>
        <v/>
      </c>
      <c r="P29" s="64"/>
      <c r="Q29" s="68"/>
      <c r="R29" s="26" t="str">
        <f>IF(P29="","",VLOOKUP(P29,Parts_Data!$X$2:$Y$102,2,FALSE))</f>
        <v/>
      </c>
      <c r="S29" s="64"/>
      <c r="T29" s="26" t="str">
        <f>IF(S29="","",VLOOKUP(S29,Parts_Data!$T$2:$U$102,2,FALSE))</f>
        <v/>
      </c>
      <c r="U29" s="64"/>
      <c r="V29" s="68"/>
      <c r="W29" s="26" t="str">
        <f>IF(U29="","",VLOOKUP(U29,Parts_Data!$X$2:$Y$102,2,FALSE))</f>
        <v/>
      </c>
      <c r="X29" s="64"/>
      <c r="Y29" s="26" t="str">
        <f>IF(X29="","",VLOOKUP(X29,Parts_Data!$T$2:$U$102,2,FALSE))</f>
        <v/>
      </c>
      <c r="Z29" s="64"/>
      <c r="AA29" s="68"/>
      <c r="AB29" s="26" t="str">
        <f>IF(Z29="","",VLOOKUP(Z29,Parts_Data!$X$2:$Y$102,2,FALSE))</f>
        <v/>
      </c>
      <c r="AC29" s="64"/>
      <c r="AD29" s="26" t="str">
        <f>IF(AC29="","",VLOOKUP(AC29,Parts_Data!$T$2:$U$102,2,FALSE))</f>
        <v/>
      </c>
      <c r="AE29" s="64"/>
      <c r="AF29" s="68"/>
      <c r="AG29" s="26" t="str">
        <f>IF(AE29="","",VLOOKUP(AE29,Parts_Data!$X$2:$Y$102,2,FALSE))</f>
        <v/>
      </c>
    </row>
    <row r="30" spans="1:33" ht="15.6" x14ac:dyDescent="0.3">
      <c r="A30" s="149" t="s">
        <v>178</v>
      </c>
      <c r="B30" s="63"/>
      <c r="C30" s="97"/>
      <c r="D30" s="63"/>
      <c r="E30" s="27" t="str">
        <f>IF(D30="","",VLOOKUP(D30,Parts_Data!$T$2:$U$102,2,FALSE))</f>
        <v/>
      </c>
      <c r="F30" s="63"/>
      <c r="G30" s="67"/>
      <c r="H30" s="27" t="str">
        <f>IF(F30="","",VLOOKUP(F30,Parts_Data!$X$2:$Y$102,2,FALSE))</f>
        <v/>
      </c>
      <c r="I30" s="63"/>
      <c r="J30" s="27" t="str">
        <f>IF(I30="","",VLOOKUP(I30,Parts_Data!$T$2:$U$102,2,FALSE))</f>
        <v/>
      </c>
      <c r="K30" s="63"/>
      <c r="L30" s="67"/>
      <c r="M30" s="27" t="str">
        <f>IF(K30="","",VLOOKUP(K30,Parts_Data!$X$2:$Y$102,2,FALSE))</f>
        <v/>
      </c>
      <c r="N30" s="63"/>
      <c r="O30" s="27" t="str">
        <f>IF(N30="","",VLOOKUP(N30,Parts_Data!$T$2:$U$102,2,FALSE))</f>
        <v/>
      </c>
      <c r="P30" s="63"/>
      <c r="Q30" s="67"/>
      <c r="R30" s="27" t="str">
        <f>IF(P30="","",VLOOKUP(P30,Parts_Data!$X$2:$Y$102,2,FALSE))</f>
        <v/>
      </c>
      <c r="S30" s="63"/>
      <c r="T30" s="27" t="str">
        <f>IF(S30="","",VLOOKUP(S30,Parts_Data!$T$2:$U$102,2,FALSE))</f>
        <v/>
      </c>
      <c r="U30" s="63"/>
      <c r="V30" s="67"/>
      <c r="W30" s="27" t="str">
        <f>IF(U30="","",VLOOKUP(U30,Parts_Data!$X$2:$Y$102,2,FALSE))</f>
        <v/>
      </c>
      <c r="X30" s="63"/>
      <c r="Y30" s="27" t="str">
        <f>IF(X30="","",VLOOKUP(X30,Parts_Data!$T$2:$U$102,2,FALSE))</f>
        <v/>
      </c>
      <c r="Z30" s="63"/>
      <c r="AA30" s="67"/>
      <c r="AB30" s="27" t="str">
        <f>IF(Z30="","",VLOOKUP(Z30,Parts_Data!$X$2:$Y$102,2,FALSE))</f>
        <v/>
      </c>
      <c r="AC30" s="63"/>
      <c r="AD30" s="27" t="str">
        <f>IF(AC30="","",VLOOKUP(AC30,Parts_Data!$T$2:$U$102,2,FALSE))</f>
        <v/>
      </c>
      <c r="AE30" s="63"/>
      <c r="AF30" s="67"/>
      <c r="AG30" s="27" t="str">
        <f>IF(AE30="","",VLOOKUP(AE30,Parts_Data!$X$2:$Y$102,2,FALSE))</f>
        <v/>
      </c>
    </row>
    <row r="31" spans="1:33" ht="15.6" x14ac:dyDescent="0.3">
      <c r="A31" s="149" t="s">
        <v>179</v>
      </c>
      <c r="B31" s="64"/>
      <c r="C31" s="98"/>
      <c r="D31" s="64"/>
      <c r="E31" s="26" t="str">
        <f>IF(D31="","",VLOOKUP(D31,Parts_Data!$T$2:$U$102,2,FALSE))</f>
        <v/>
      </c>
      <c r="F31" s="64"/>
      <c r="G31" s="68"/>
      <c r="H31" s="26" t="str">
        <f>IF(F31="","",VLOOKUP(F31,Parts_Data!$X$2:$Y$102,2,FALSE))</f>
        <v/>
      </c>
      <c r="I31" s="64"/>
      <c r="J31" s="26" t="str">
        <f>IF(I31="","",VLOOKUP(I31,Parts_Data!$T$2:$U$102,2,FALSE))</f>
        <v/>
      </c>
      <c r="K31" s="64"/>
      <c r="L31" s="68"/>
      <c r="M31" s="26" t="str">
        <f>IF(K31="","",VLOOKUP(K31,Parts_Data!$X$2:$Y$102,2,FALSE))</f>
        <v/>
      </c>
      <c r="N31" s="64"/>
      <c r="O31" s="26" t="str">
        <f>IF(N31="","",VLOOKUP(N31,Parts_Data!$T$2:$U$102,2,FALSE))</f>
        <v/>
      </c>
      <c r="P31" s="64"/>
      <c r="Q31" s="68"/>
      <c r="R31" s="26" t="str">
        <f>IF(P31="","",VLOOKUP(P31,Parts_Data!$X$2:$Y$102,2,FALSE))</f>
        <v/>
      </c>
      <c r="S31" s="64"/>
      <c r="T31" s="26" t="str">
        <f>IF(S31="","",VLOOKUP(S31,Parts_Data!$T$2:$U$102,2,FALSE))</f>
        <v/>
      </c>
      <c r="U31" s="64"/>
      <c r="V31" s="68"/>
      <c r="W31" s="26" t="str">
        <f>IF(U31="","",VLOOKUP(U31,Parts_Data!$X$2:$Y$102,2,FALSE))</f>
        <v/>
      </c>
      <c r="X31" s="64"/>
      <c r="Y31" s="26" t="str">
        <f>IF(X31="","",VLOOKUP(X31,Parts_Data!$T$2:$U$102,2,FALSE))</f>
        <v/>
      </c>
      <c r="Z31" s="64"/>
      <c r="AA31" s="68"/>
      <c r="AB31" s="26" t="str">
        <f>IF(Z31="","",VLOOKUP(Z31,Parts_Data!$X$2:$Y$102,2,FALSE))</f>
        <v/>
      </c>
      <c r="AC31" s="64"/>
      <c r="AD31" s="26" t="str">
        <f>IF(AC31="","",VLOOKUP(AC31,Parts_Data!$T$2:$U$102,2,FALSE))</f>
        <v/>
      </c>
      <c r="AE31" s="64"/>
      <c r="AF31" s="68"/>
      <c r="AG31" s="26" t="str">
        <f>IF(AE31="","",VLOOKUP(AE31,Parts_Data!$X$2:$Y$102,2,FALSE))</f>
        <v/>
      </c>
    </row>
    <row r="32" spans="1:33" ht="15.6" x14ac:dyDescent="0.3">
      <c r="A32" s="149" t="s">
        <v>180</v>
      </c>
      <c r="B32" s="63"/>
      <c r="C32" s="97"/>
      <c r="D32" s="63"/>
      <c r="E32" s="27" t="str">
        <f>IF(D32="","",VLOOKUP(D32,Parts_Data!$T$2:$U$102,2,FALSE))</f>
        <v/>
      </c>
      <c r="F32" s="63"/>
      <c r="G32" s="67"/>
      <c r="H32" s="27" t="str">
        <f>IF(F32="","",VLOOKUP(F32,Parts_Data!$X$2:$Y$102,2,FALSE))</f>
        <v/>
      </c>
      <c r="I32" s="63"/>
      <c r="J32" s="27" t="str">
        <f>IF(I32="","",VLOOKUP(I32,Parts_Data!$T$2:$U$102,2,FALSE))</f>
        <v/>
      </c>
      <c r="K32" s="63"/>
      <c r="L32" s="67"/>
      <c r="M32" s="27" t="str">
        <f>IF(K32="","",VLOOKUP(K32,Parts_Data!$X$2:$Y$102,2,FALSE))</f>
        <v/>
      </c>
      <c r="N32" s="63"/>
      <c r="O32" s="27" t="str">
        <f>IF(N32="","",VLOOKUP(N32,Parts_Data!$T$2:$U$102,2,FALSE))</f>
        <v/>
      </c>
      <c r="P32" s="63"/>
      <c r="Q32" s="67"/>
      <c r="R32" s="27" t="str">
        <f>IF(P32="","",VLOOKUP(P32,Parts_Data!$X$2:$Y$102,2,FALSE))</f>
        <v/>
      </c>
      <c r="S32" s="63"/>
      <c r="T32" s="27" t="str">
        <f>IF(S32="","",VLOOKUP(S32,Parts_Data!$T$2:$U$102,2,FALSE))</f>
        <v/>
      </c>
      <c r="U32" s="63"/>
      <c r="V32" s="67"/>
      <c r="W32" s="27" t="str">
        <f>IF(U32="","",VLOOKUP(U32,Parts_Data!$X$2:$Y$102,2,FALSE))</f>
        <v/>
      </c>
      <c r="X32" s="63"/>
      <c r="Y32" s="27" t="str">
        <f>IF(X32="","",VLOOKUP(X32,Parts_Data!$T$2:$U$102,2,FALSE))</f>
        <v/>
      </c>
      <c r="Z32" s="63"/>
      <c r="AA32" s="67"/>
      <c r="AB32" s="27" t="str">
        <f>IF(Z32="","",VLOOKUP(Z32,Parts_Data!$X$2:$Y$102,2,FALSE))</f>
        <v/>
      </c>
      <c r="AC32" s="63"/>
      <c r="AD32" s="27" t="str">
        <f>IF(AC32="","",VLOOKUP(AC32,Parts_Data!$T$2:$U$102,2,FALSE))</f>
        <v/>
      </c>
      <c r="AE32" s="63"/>
      <c r="AF32" s="67"/>
      <c r="AG32" s="27" t="str">
        <f>IF(AE32="","",VLOOKUP(AE32,Parts_Data!$X$2:$Y$102,2,FALSE))</f>
        <v/>
      </c>
    </row>
    <row r="33" spans="1:33" ht="15.6" x14ac:dyDescent="0.3">
      <c r="A33" s="149" t="s">
        <v>181</v>
      </c>
      <c r="B33" s="64"/>
      <c r="C33" s="98"/>
      <c r="D33" s="64"/>
      <c r="E33" s="26" t="str">
        <f>IF(D33="","",VLOOKUP(D33,Parts_Data!$T$2:$U$102,2,FALSE))</f>
        <v/>
      </c>
      <c r="F33" s="64"/>
      <c r="G33" s="68"/>
      <c r="H33" s="26" t="str">
        <f>IF(F33="","",VLOOKUP(F33,Parts_Data!$X$2:$Y$102,2,FALSE))</f>
        <v/>
      </c>
      <c r="I33" s="64"/>
      <c r="J33" s="26" t="str">
        <f>IF(I33="","",VLOOKUP(I33,Parts_Data!$T$2:$U$102,2,FALSE))</f>
        <v/>
      </c>
      <c r="K33" s="64"/>
      <c r="L33" s="68"/>
      <c r="M33" s="26" t="str">
        <f>IF(K33="","",VLOOKUP(K33,Parts_Data!$X$2:$Y$102,2,FALSE))</f>
        <v/>
      </c>
      <c r="N33" s="64"/>
      <c r="O33" s="26" t="str">
        <f>IF(N33="","",VLOOKUP(N33,Parts_Data!$T$2:$U$102,2,FALSE))</f>
        <v/>
      </c>
      <c r="P33" s="64"/>
      <c r="Q33" s="68"/>
      <c r="R33" s="26" t="str">
        <f>IF(P33="","",VLOOKUP(P33,Parts_Data!$X$2:$Y$102,2,FALSE))</f>
        <v/>
      </c>
      <c r="S33" s="64"/>
      <c r="T33" s="26" t="str">
        <f>IF(S33="","",VLOOKUP(S33,Parts_Data!$T$2:$U$102,2,FALSE))</f>
        <v/>
      </c>
      <c r="U33" s="64"/>
      <c r="V33" s="68"/>
      <c r="W33" s="26" t="str">
        <f>IF(U33="","",VLOOKUP(U33,Parts_Data!$X$2:$Y$102,2,FALSE))</f>
        <v/>
      </c>
      <c r="X33" s="64"/>
      <c r="Y33" s="26" t="str">
        <f>IF(X33="","",VLOOKUP(X33,Parts_Data!$T$2:$U$102,2,FALSE))</f>
        <v/>
      </c>
      <c r="Z33" s="64"/>
      <c r="AA33" s="68"/>
      <c r="AB33" s="26" t="str">
        <f>IF(Z33="","",VLOOKUP(Z33,Parts_Data!$X$2:$Y$102,2,FALSE))</f>
        <v/>
      </c>
      <c r="AC33" s="64"/>
      <c r="AD33" s="26" t="str">
        <f>IF(AC33="","",VLOOKUP(AC33,Parts_Data!$T$2:$U$102,2,FALSE))</f>
        <v/>
      </c>
      <c r="AE33" s="64"/>
      <c r="AF33" s="68"/>
      <c r="AG33" s="26" t="str">
        <f>IF(AE33="","",VLOOKUP(AE33,Parts_Data!$X$2:$Y$102,2,FALSE))</f>
        <v/>
      </c>
    </row>
    <row r="34" spans="1:33" ht="15.6" x14ac:dyDescent="0.3">
      <c r="A34" s="149" t="s">
        <v>182</v>
      </c>
      <c r="B34" s="63"/>
      <c r="C34" s="97"/>
      <c r="D34" s="63"/>
      <c r="E34" s="27" t="str">
        <f>IF(D34="","",VLOOKUP(D34,Parts_Data!$T$2:$U$102,2,FALSE))</f>
        <v/>
      </c>
      <c r="F34" s="63"/>
      <c r="G34" s="67"/>
      <c r="H34" s="27" t="str">
        <f>IF(F34="","",VLOOKUP(F34,Parts_Data!$X$2:$Y$102,2,FALSE))</f>
        <v/>
      </c>
      <c r="I34" s="63"/>
      <c r="J34" s="27" t="str">
        <f>IF(I34="","",VLOOKUP(I34,Parts_Data!$T$2:$U$102,2,FALSE))</f>
        <v/>
      </c>
      <c r="K34" s="63"/>
      <c r="L34" s="67"/>
      <c r="M34" s="27" t="str">
        <f>IF(K34="","",VLOOKUP(K34,Parts_Data!$X$2:$Y$102,2,FALSE))</f>
        <v/>
      </c>
      <c r="N34" s="63"/>
      <c r="O34" s="27" t="str">
        <f>IF(N34="","",VLOOKUP(N34,Parts_Data!$T$2:$U$102,2,FALSE))</f>
        <v/>
      </c>
      <c r="P34" s="63"/>
      <c r="Q34" s="67"/>
      <c r="R34" s="27" t="str">
        <f>IF(P34="","",VLOOKUP(P34,Parts_Data!$X$2:$Y$102,2,FALSE))</f>
        <v/>
      </c>
      <c r="S34" s="63"/>
      <c r="T34" s="27" t="str">
        <f>IF(S34="","",VLOOKUP(S34,Parts_Data!$T$2:$U$102,2,FALSE))</f>
        <v/>
      </c>
      <c r="U34" s="63"/>
      <c r="V34" s="67"/>
      <c r="W34" s="27" t="str">
        <f>IF(U34="","",VLOOKUP(U34,Parts_Data!$X$2:$Y$102,2,FALSE))</f>
        <v/>
      </c>
      <c r="X34" s="63"/>
      <c r="Y34" s="27" t="str">
        <f>IF(X34="","",VLOOKUP(X34,Parts_Data!$T$2:$U$102,2,FALSE))</f>
        <v/>
      </c>
      <c r="Z34" s="63"/>
      <c r="AA34" s="67"/>
      <c r="AB34" s="27" t="str">
        <f>IF(Z34="","",VLOOKUP(Z34,Parts_Data!$X$2:$Y$102,2,FALSE))</f>
        <v/>
      </c>
      <c r="AC34" s="63"/>
      <c r="AD34" s="27" t="str">
        <f>IF(AC34="","",VLOOKUP(AC34,Parts_Data!$T$2:$U$102,2,FALSE))</f>
        <v/>
      </c>
      <c r="AE34" s="63"/>
      <c r="AF34" s="67"/>
      <c r="AG34" s="27" t="str">
        <f>IF(AE34="","",VLOOKUP(AE34,Parts_Data!$X$2:$Y$102,2,FALSE))</f>
        <v/>
      </c>
    </row>
    <row r="35" spans="1:33" ht="15.6" x14ac:dyDescent="0.3">
      <c r="A35" s="149" t="s">
        <v>302</v>
      </c>
      <c r="B35" s="64"/>
      <c r="C35" s="98"/>
      <c r="D35" s="64"/>
      <c r="E35" s="26" t="str">
        <f>IF(D35="","",VLOOKUP(D35,Parts_Data!$T$2:$U$102,2,FALSE))</f>
        <v/>
      </c>
      <c r="F35" s="64"/>
      <c r="G35" s="68"/>
      <c r="H35" s="26" t="str">
        <f>IF(F35="","",VLOOKUP(F35,Parts_Data!$X$2:$Y$102,2,FALSE))</f>
        <v/>
      </c>
      <c r="I35" s="64"/>
      <c r="J35" s="26" t="str">
        <f>IF(I35="","",VLOOKUP(I35,Parts_Data!$T$2:$U$102,2,FALSE))</f>
        <v/>
      </c>
      <c r="K35" s="64"/>
      <c r="L35" s="68"/>
      <c r="M35" s="26" t="str">
        <f>IF(K35="","",VLOOKUP(K35,Parts_Data!$X$2:$Y$102,2,FALSE))</f>
        <v/>
      </c>
      <c r="N35" s="64"/>
      <c r="O35" s="26" t="str">
        <f>IF(N35="","",VLOOKUP(N35,Parts_Data!$T$2:$U$102,2,FALSE))</f>
        <v/>
      </c>
      <c r="P35" s="64"/>
      <c r="Q35" s="68"/>
      <c r="R35" s="26" t="str">
        <f>IF(P35="","",VLOOKUP(P35,Parts_Data!$X$2:$Y$102,2,FALSE))</f>
        <v/>
      </c>
      <c r="S35" s="64"/>
      <c r="T35" s="26" t="str">
        <f>IF(S35="","",VLOOKUP(S35,Parts_Data!$T$2:$U$102,2,FALSE))</f>
        <v/>
      </c>
      <c r="U35" s="64"/>
      <c r="V35" s="68"/>
      <c r="W35" s="26" t="str">
        <f>IF(U35="","",VLOOKUP(U35,Parts_Data!$X$2:$Y$102,2,FALSE))</f>
        <v/>
      </c>
      <c r="X35" s="64"/>
      <c r="Y35" s="26" t="str">
        <f>IF(X35="","",VLOOKUP(X35,Parts_Data!$T$2:$U$102,2,FALSE))</f>
        <v/>
      </c>
      <c r="Z35" s="64"/>
      <c r="AA35" s="68"/>
      <c r="AB35" s="26" t="str">
        <f>IF(Z35="","",VLOOKUP(Z35,Parts_Data!$X$2:$Y$102,2,FALSE))</f>
        <v/>
      </c>
      <c r="AC35" s="64"/>
      <c r="AD35" s="26" t="str">
        <f>IF(AC35="","",VLOOKUP(AC35,Parts_Data!$T$2:$U$102,2,FALSE))</f>
        <v/>
      </c>
      <c r="AE35" s="64"/>
      <c r="AF35" s="68"/>
      <c r="AG35" s="26" t="str">
        <f>IF(AE35="","",VLOOKUP(AE35,Parts_Data!$X$2:$Y$102,2,FALSE))</f>
        <v/>
      </c>
    </row>
    <row r="36" spans="1:33" ht="15.6" x14ac:dyDescent="0.3">
      <c r="A36" s="149" t="s">
        <v>303</v>
      </c>
      <c r="B36" s="63"/>
      <c r="C36" s="97"/>
      <c r="D36" s="63"/>
      <c r="E36" s="27" t="str">
        <f>IF(D36="","",VLOOKUP(D36,Parts_Data!$T$2:$U$102,2,FALSE))</f>
        <v/>
      </c>
      <c r="F36" s="63"/>
      <c r="G36" s="67"/>
      <c r="H36" s="27" t="str">
        <f>IF(F36="","",VLOOKUP(F36,Parts_Data!$X$2:$Y$102,2,FALSE))</f>
        <v/>
      </c>
      <c r="I36" s="63"/>
      <c r="J36" s="27" t="str">
        <f>IF(I36="","",VLOOKUP(I36,Parts_Data!$T$2:$U$102,2,FALSE))</f>
        <v/>
      </c>
      <c r="K36" s="63"/>
      <c r="L36" s="67"/>
      <c r="M36" s="27" t="str">
        <f>IF(K36="","",VLOOKUP(K36,Parts_Data!$X$2:$Y$102,2,FALSE))</f>
        <v/>
      </c>
      <c r="N36" s="63"/>
      <c r="O36" s="27" t="str">
        <f>IF(N36="","",VLOOKUP(N36,Parts_Data!$T$2:$U$102,2,FALSE))</f>
        <v/>
      </c>
      <c r="P36" s="63"/>
      <c r="Q36" s="67"/>
      <c r="R36" s="27" t="str">
        <f>IF(P36="","",VLOOKUP(P36,Parts_Data!$X$2:$Y$102,2,FALSE))</f>
        <v/>
      </c>
      <c r="S36" s="63"/>
      <c r="T36" s="27" t="str">
        <f>IF(S36="","",VLOOKUP(S36,Parts_Data!$T$2:$U$102,2,FALSE))</f>
        <v/>
      </c>
      <c r="U36" s="63"/>
      <c r="V36" s="67"/>
      <c r="W36" s="27" t="str">
        <f>IF(U36="","",VLOOKUP(U36,Parts_Data!$X$2:$Y$102,2,FALSE))</f>
        <v/>
      </c>
      <c r="X36" s="63"/>
      <c r="Y36" s="27" t="str">
        <f>IF(X36="","",VLOOKUP(X36,Parts_Data!$T$2:$U$102,2,FALSE))</f>
        <v/>
      </c>
      <c r="Z36" s="63"/>
      <c r="AA36" s="67"/>
      <c r="AB36" s="27" t="str">
        <f>IF(Z36="","",VLOOKUP(Z36,Parts_Data!$X$2:$Y$102,2,FALSE))</f>
        <v/>
      </c>
      <c r="AC36" s="63"/>
      <c r="AD36" s="27" t="str">
        <f>IF(AC36="","",VLOOKUP(AC36,Parts_Data!$T$2:$U$102,2,FALSE))</f>
        <v/>
      </c>
      <c r="AE36" s="63"/>
      <c r="AF36" s="67"/>
      <c r="AG36" s="27" t="str">
        <f>IF(AE36="","",VLOOKUP(AE36,Parts_Data!$X$2:$Y$102,2,FALSE))</f>
        <v/>
      </c>
    </row>
    <row r="37" spans="1:33" ht="15.6" x14ac:dyDescent="0.3">
      <c r="A37" s="149" t="s">
        <v>304</v>
      </c>
      <c r="B37" s="64"/>
      <c r="C37" s="98"/>
      <c r="D37" s="64"/>
      <c r="E37" s="26" t="str">
        <f>IF(D37="","",VLOOKUP(D37,Parts_Data!$T$2:$U$102,2,FALSE))</f>
        <v/>
      </c>
      <c r="F37" s="64"/>
      <c r="G37" s="68"/>
      <c r="H37" s="26" t="str">
        <f>IF(F37="","",VLOOKUP(F37,Parts_Data!$X$2:$Y$102,2,FALSE))</f>
        <v/>
      </c>
      <c r="I37" s="64"/>
      <c r="J37" s="26" t="str">
        <f>IF(I37="","",VLOOKUP(I37,Parts_Data!$T$2:$U$102,2,FALSE))</f>
        <v/>
      </c>
      <c r="K37" s="64"/>
      <c r="L37" s="68"/>
      <c r="M37" s="26" t="str">
        <f>IF(K37="","",VLOOKUP(K37,Parts_Data!$X$2:$Y$102,2,FALSE))</f>
        <v/>
      </c>
      <c r="N37" s="64"/>
      <c r="O37" s="26" t="str">
        <f>IF(N37="","",VLOOKUP(N37,Parts_Data!$T$2:$U$102,2,FALSE))</f>
        <v/>
      </c>
      <c r="P37" s="64"/>
      <c r="Q37" s="68"/>
      <c r="R37" s="26" t="str">
        <f>IF(P37="","",VLOOKUP(P37,Parts_Data!$X$2:$Y$102,2,FALSE))</f>
        <v/>
      </c>
      <c r="S37" s="64"/>
      <c r="T37" s="26" t="str">
        <f>IF(S37="","",VLOOKUP(S37,Parts_Data!$T$2:$U$102,2,FALSE))</f>
        <v/>
      </c>
      <c r="U37" s="64"/>
      <c r="V37" s="68"/>
      <c r="W37" s="26" t="str">
        <f>IF(U37="","",VLOOKUP(U37,Parts_Data!$X$2:$Y$102,2,FALSE))</f>
        <v/>
      </c>
      <c r="X37" s="64"/>
      <c r="Y37" s="26" t="str">
        <f>IF(X37="","",VLOOKUP(X37,Parts_Data!$T$2:$U$102,2,FALSE))</f>
        <v/>
      </c>
      <c r="Z37" s="64"/>
      <c r="AA37" s="68"/>
      <c r="AB37" s="26" t="str">
        <f>IF(Z37="","",VLOOKUP(Z37,Parts_Data!$X$2:$Y$102,2,FALSE))</f>
        <v/>
      </c>
      <c r="AC37" s="64"/>
      <c r="AD37" s="26" t="str">
        <f>IF(AC37="","",VLOOKUP(AC37,Parts_Data!$T$2:$U$102,2,FALSE))</f>
        <v/>
      </c>
      <c r="AE37" s="64"/>
      <c r="AF37" s="68"/>
      <c r="AG37" s="26" t="str">
        <f>IF(AE37="","",VLOOKUP(AE37,Parts_Data!$X$2:$Y$102,2,FALSE))</f>
        <v/>
      </c>
    </row>
    <row r="38" spans="1:33" ht="15.6" x14ac:dyDescent="0.3">
      <c r="A38" s="149" t="s">
        <v>305</v>
      </c>
      <c r="B38" s="63"/>
      <c r="C38" s="97"/>
      <c r="D38" s="63"/>
      <c r="E38" s="27" t="str">
        <f>IF(D38="","",VLOOKUP(D38,Parts_Data!$T$2:$U$102,2,FALSE))</f>
        <v/>
      </c>
      <c r="F38" s="63"/>
      <c r="G38" s="67"/>
      <c r="H38" s="27" t="str">
        <f>IF(F38="","",VLOOKUP(F38,Parts_Data!$X$2:$Y$102,2,FALSE))</f>
        <v/>
      </c>
      <c r="I38" s="63"/>
      <c r="J38" s="27" t="str">
        <f>IF(I38="","",VLOOKUP(I38,Parts_Data!$T$2:$U$102,2,FALSE))</f>
        <v/>
      </c>
      <c r="K38" s="63"/>
      <c r="L38" s="67"/>
      <c r="M38" s="27" t="str">
        <f>IF(K38="","",VLOOKUP(K38,Parts_Data!$X$2:$Y$102,2,FALSE))</f>
        <v/>
      </c>
      <c r="N38" s="63"/>
      <c r="O38" s="27" t="str">
        <f>IF(N38="","",VLOOKUP(N38,Parts_Data!$T$2:$U$102,2,FALSE))</f>
        <v/>
      </c>
      <c r="P38" s="63"/>
      <c r="Q38" s="67"/>
      <c r="R38" s="27" t="str">
        <f>IF(P38="","",VLOOKUP(P38,Parts_Data!$X$2:$Y$102,2,FALSE))</f>
        <v/>
      </c>
      <c r="S38" s="63"/>
      <c r="T38" s="27" t="str">
        <f>IF(S38="","",VLOOKUP(S38,Parts_Data!$T$2:$U$102,2,FALSE))</f>
        <v/>
      </c>
      <c r="U38" s="63"/>
      <c r="V38" s="67"/>
      <c r="W38" s="27" t="str">
        <f>IF(U38="","",VLOOKUP(U38,Parts_Data!$X$2:$Y$102,2,FALSE))</f>
        <v/>
      </c>
      <c r="X38" s="63"/>
      <c r="Y38" s="27" t="str">
        <f>IF(X38="","",VLOOKUP(X38,Parts_Data!$T$2:$U$102,2,FALSE))</f>
        <v/>
      </c>
      <c r="Z38" s="63"/>
      <c r="AA38" s="67"/>
      <c r="AB38" s="27" t="str">
        <f>IF(Z38="","",VLOOKUP(Z38,Parts_Data!$X$2:$Y$102,2,FALSE))</f>
        <v/>
      </c>
      <c r="AC38" s="63"/>
      <c r="AD38" s="27" t="str">
        <f>IF(AC38="","",VLOOKUP(AC38,Parts_Data!$T$2:$U$102,2,FALSE))</f>
        <v/>
      </c>
      <c r="AE38" s="63"/>
      <c r="AF38" s="67"/>
      <c r="AG38" s="27" t="str">
        <f>IF(AE38="","",VLOOKUP(AE38,Parts_Data!$X$2:$Y$102,2,FALSE))</f>
        <v/>
      </c>
    </row>
    <row r="39" spans="1:33" ht="15.6" x14ac:dyDescent="0.3">
      <c r="A39" s="149" t="s">
        <v>306</v>
      </c>
      <c r="B39" s="64"/>
      <c r="C39" s="98"/>
      <c r="D39" s="64"/>
      <c r="E39" s="26" t="str">
        <f>IF(D39="","",VLOOKUP(D39,Parts_Data!$T$2:$U$102,2,FALSE))</f>
        <v/>
      </c>
      <c r="F39" s="64"/>
      <c r="G39" s="68"/>
      <c r="H39" s="26" t="str">
        <f>IF(F39="","",VLOOKUP(F39,Parts_Data!$X$2:$Y$102,2,FALSE))</f>
        <v/>
      </c>
      <c r="I39" s="64"/>
      <c r="J39" s="26" t="str">
        <f>IF(I39="","",VLOOKUP(I39,Parts_Data!$T$2:$U$102,2,FALSE))</f>
        <v/>
      </c>
      <c r="K39" s="64"/>
      <c r="L39" s="68"/>
      <c r="M39" s="26" t="str">
        <f>IF(K39="","",VLOOKUP(K39,Parts_Data!$X$2:$Y$102,2,FALSE))</f>
        <v/>
      </c>
      <c r="N39" s="64"/>
      <c r="O39" s="26" t="str">
        <f>IF(N39="","",VLOOKUP(N39,Parts_Data!$T$2:$U$102,2,FALSE))</f>
        <v/>
      </c>
      <c r="P39" s="64"/>
      <c r="Q39" s="68"/>
      <c r="R39" s="26" t="str">
        <f>IF(P39="","",VLOOKUP(P39,Parts_Data!$X$2:$Y$102,2,FALSE))</f>
        <v/>
      </c>
      <c r="S39" s="64"/>
      <c r="T39" s="26" t="str">
        <f>IF(S39="","",VLOOKUP(S39,Parts_Data!$T$2:$U$102,2,FALSE))</f>
        <v/>
      </c>
      <c r="U39" s="64"/>
      <c r="V39" s="68"/>
      <c r="W39" s="26" t="str">
        <f>IF(U39="","",VLOOKUP(U39,Parts_Data!$X$2:$Y$102,2,FALSE))</f>
        <v/>
      </c>
      <c r="X39" s="64"/>
      <c r="Y39" s="26" t="str">
        <f>IF(X39="","",VLOOKUP(X39,Parts_Data!$T$2:$U$102,2,FALSE))</f>
        <v/>
      </c>
      <c r="Z39" s="64"/>
      <c r="AA39" s="68"/>
      <c r="AB39" s="26" t="str">
        <f>IF(Z39="","",VLOOKUP(Z39,Parts_Data!$X$2:$Y$102,2,FALSE))</f>
        <v/>
      </c>
      <c r="AC39" s="64"/>
      <c r="AD39" s="26" t="str">
        <f>IF(AC39="","",VLOOKUP(AC39,Parts_Data!$T$2:$U$102,2,FALSE))</f>
        <v/>
      </c>
      <c r="AE39" s="64"/>
      <c r="AF39" s="68"/>
      <c r="AG39" s="26" t="str">
        <f>IF(AE39="","",VLOOKUP(AE39,Parts_Data!$X$2:$Y$102,2,FALSE))</f>
        <v/>
      </c>
    </row>
    <row r="40" spans="1:33" ht="15.6" x14ac:dyDescent="0.3">
      <c r="A40" s="149" t="s">
        <v>307</v>
      </c>
      <c r="B40" s="63"/>
      <c r="C40" s="97"/>
      <c r="D40" s="63"/>
      <c r="E40" s="27" t="str">
        <f>IF(D40="","",VLOOKUP(D40,Parts_Data!$T$2:$U$102,2,FALSE))</f>
        <v/>
      </c>
      <c r="F40" s="63"/>
      <c r="G40" s="67"/>
      <c r="H40" s="27" t="str">
        <f>IF(F40="","",VLOOKUP(F40,Parts_Data!$X$2:$Y$102,2,FALSE))</f>
        <v/>
      </c>
      <c r="I40" s="63"/>
      <c r="J40" s="27" t="str">
        <f>IF(I40="","",VLOOKUP(I40,Parts_Data!$T$2:$U$102,2,FALSE))</f>
        <v/>
      </c>
      <c r="K40" s="63"/>
      <c r="L40" s="67"/>
      <c r="M40" s="27" t="str">
        <f>IF(K40="","",VLOOKUP(K40,Parts_Data!$X$2:$Y$102,2,FALSE))</f>
        <v/>
      </c>
      <c r="N40" s="63"/>
      <c r="O40" s="27" t="str">
        <f>IF(N40="","",VLOOKUP(N40,Parts_Data!$T$2:$U$102,2,FALSE))</f>
        <v/>
      </c>
      <c r="P40" s="63"/>
      <c r="Q40" s="67"/>
      <c r="R40" s="27" t="str">
        <f>IF(P40="","",VLOOKUP(P40,Parts_Data!$X$2:$Y$102,2,FALSE))</f>
        <v/>
      </c>
      <c r="S40" s="63"/>
      <c r="T40" s="27" t="str">
        <f>IF(S40="","",VLOOKUP(S40,Parts_Data!$T$2:$U$102,2,FALSE))</f>
        <v/>
      </c>
      <c r="U40" s="63"/>
      <c r="V40" s="67"/>
      <c r="W40" s="27" t="str">
        <f>IF(U40="","",VLOOKUP(U40,Parts_Data!$X$2:$Y$102,2,FALSE))</f>
        <v/>
      </c>
      <c r="X40" s="63"/>
      <c r="Y40" s="27" t="str">
        <f>IF(X40="","",VLOOKUP(X40,Parts_Data!$T$2:$U$102,2,FALSE))</f>
        <v/>
      </c>
      <c r="Z40" s="63"/>
      <c r="AA40" s="67"/>
      <c r="AB40" s="27" t="str">
        <f>IF(Z40="","",VLOOKUP(Z40,Parts_Data!$X$2:$Y$102,2,FALSE))</f>
        <v/>
      </c>
      <c r="AC40" s="63"/>
      <c r="AD40" s="27" t="str">
        <f>IF(AC40="","",VLOOKUP(AC40,Parts_Data!$T$2:$U$102,2,FALSE))</f>
        <v/>
      </c>
      <c r="AE40" s="63"/>
      <c r="AF40" s="67"/>
      <c r="AG40" s="27" t="str">
        <f>IF(AE40="","",VLOOKUP(AE40,Parts_Data!$X$2:$Y$102,2,FALSE))</f>
        <v/>
      </c>
    </row>
    <row r="41" spans="1:33" ht="15.6" x14ac:dyDescent="0.3">
      <c r="A41" s="149" t="s">
        <v>308</v>
      </c>
      <c r="B41" s="64"/>
      <c r="C41" s="98"/>
      <c r="D41" s="64"/>
      <c r="E41" s="26" t="str">
        <f>IF(D41="","",VLOOKUP(D41,Parts_Data!$T$2:$U$102,2,FALSE))</f>
        <v/>
      </c>
      <c r="F41" s="64"/>
      <c r="G41" s="68"/>
      <c r="H41" s="26" t="str">
        <f>IF(F41="","",VLOOKUP(F41,Parts_Data!$X$2:$Y$102,2,FALSE))</f>
        <v/>
      </c>
      <c r="I41" s="64"/>
      <c r="J41" s="26" t="str">
        <f>IF(I41="","",VLOOKUP(I41,Parts_Data!$T$2:$U$102,2,FALSE))</f>
        <v/>
      </c>
      <c r="K41" s="64"/>
      <c r="L41" s="68"/>
      <c r="M41" s="26" t="str">
        <f>IF(K41="","",VLOOKUP(K41,Parts_Data!$X$2:$Y$102,2,FALSE))</f>
        <v/>
      </c>
      <c r="N41" s="64"/>
      <c r="O41" s="26" t="str">
        <f>IF(N41="","",VLOOKUP(N41,Parts_Data!$T$2:$U$102,2,FALSE))</f>
        <v/>
      </c>
      <c r="P41" s="64"/>
      <c r="Q41" s="68"/>
      <c r="R41" s="26" t="str">
        <f>IF(P41="","",VLOOKUP(P41,Parts_Data!$X$2:$Y$102,2,FALSE))</f>
        <v/>
      </c>
      <c r="S41" s="64"/>
      <c r="T41" s="26" t="str">
        <f>IF(S41="","",VLOOKUP(S41,Parts_Data!$T$2:$U$102,2,FALSE))</f>
        <v/>
      </c>
      <c r="U41" s="64"/>
      <c r="V41" s="68"/>
      <c r="W41" s="26" t="str">
        <f>IF(U41="","",VLOOKUP(U41,Parts_Data!$X$2:$Y$102,2,FALSE))</f>
        <v/>
      </c>
      <c r="X41" s="64"/>
      <c r="Y41" s="26" t="str">
        <f>IF(X41="","",VLOOKUP(X41,Parts_Data!$T$2:$U$102,2,FALSE))</f>
        <v/>
      </c>
      <c r="Z41" s="64"/>
      <c r="AA41" s="68"/>
      <c r="AB41" s="26" t="str">
        <f>IF(Z41="","",VLOOKUP(Z41,Parts_Data!$X$2:$Y$102,2,FALSE))</f>
        <v/>
      </c>
      <c r="AC41" s="64"/>
      <c r="AD41" s="26" t="str">
        <f>IF(AC41="","",VLOOKUP(AC41,Parts_Data!$T$2:$U$102,2,FALSE))</f>
        <v/>
      </c>
      <c r="AE41" s="64"/>
      <c r="AF41" s="68"/>
      <c r="AG41" s="26" t="str">
        <f>IF(AE41="","",VLOOKUP(AE41,Parts_Data!$X$2:$Y$102,2,FALSE))</f>
        <v/>
      </c>
    </row>
    <row r="42" spans="1:33" ht="15.6" x14ac:dyDescent="0.3">
      <c r="A42" s="149" t="s">
        <v>312</v>
      </c>
      <c r="B42" s="64"/>
      <c r="C42" s="98"/>
      <c r="D42" s="64"/>
      <c r="E42" s="26" t="str">
        <f>IF(D42="","",VLOOKUP(D42,Parts_Data!$T$2:$U$102,2,FALSE))</f>
        <v/>
      </c>
      <c r="F42" s="64"/>
      <c r="G42" s="68"/>
      <c r="H42" s="26" t="str">
        <f>IF(F42="","",VLOOKUP(F42,Parts_Data!$X$2:$Y$102,2,FALSE))</f>
        <v/>
      </c>
      <c r="I42" s="64"/>
      <c r="J42" s="26" t="str">
        <f>IF(I42="","",VLOOKUP(I42,Parts_Data!$T$2:$U$102,2,FALSE))</f>
        <v/>
      </c>
      <c r="K42" s="64"/>
      <c r="L42" s="68"/>
      <c r="M42" s="26" t="str">
        <f>IF(K42="","",VLOOKUP(K42,Parts_Data!$X$2:$Y$102,2,FALSE))</f>
        <v/>
      </c>
      <c r="N42" s="64"/>
      <c r="O42" s="26" t="str">
        <f>IF(N42="","",VLOOKUP(N42,Parts_Data!$T$2:$U$102,2,FALSE))</f>
        <v/>
      </c>
      <c r="P42" s="64"/>
      <c r="Q42" s="68"/>
      <c r="R42" s="26" t="str">
        <f>IF(P42="","",VLOOKUP(P42,Parts_Data!$X$2:$Y$102,2,FALSE))</f>
        <v/>
      </c>
      <c r="S42" s="64"/>
      <c r="T42" s="26" t="str">
        <f>IF(S42="","",VLOOKUP(S42,Parts_Data!$T$2:$U$102,2,FALSE))</f>
        <v/>
      </c>
      <c r="U42" s="64"/>
      <c r="V42" s="68"/>
      <c r="W42" s="26" t="str">
        <f>IF(U42="","",VLOOKUP(U42,Parts_Data!$X$2:$Y$102,2,FALSE))</f>
        <v/>
      </c>
      <c r="X42" s="64"/>
      <c r="Y42" s="26" t="str">
        <f>IF(X42="","",VLOOKUP(X42,Parts_Data!$T$2:$U$102,2,FALSE))</f>
        <v/>
      </c>
      <c r="Z42" s="64"/>
      <c r="AA42" s="68"/>
      <c r="AB42" s="26" t="str">
        <f>IF(Z42="","",VLOOKUP(Z42,Parts_Data!$X$2:$Y$102,2,FALSE))</f>
        <v/>
      </c>
      <c r="AC42" s="64"/>
      <c r="AD42" s="26" t="str">
        <f>IF(AC42="","",VLOOKUP(AC42,Parts_Data!$T$2:$U$102,2,FALSE))</f>
        <v/>
      </c>
      <c r="AE42" s="64"/>
      <c r="AF42" s="68"/>
      <c r="AG42" s="26" t="str">
        <f>IF(AE42="","",VLOOKUP(AE42,Parts_Data!$X$2:$Y$102,2,FALSE))</f>
        <v/>
      </c>
    </row>
    <row r="43" spans="1:33" ht="15.6" x14ac:dyDescent="0.3">
      <c r="A43" s="149" t="s">
        <v>312</v>
      </c>
      <c r="B43" s="64"/>
      <c r="C43" s="98"/>
      <c r="D43" s="64"/>
      <c r="E43" s="26" t="str">
        <f>IF(D43="","",VLOOKUP(D43,Parts_Data!$T$2:$U$102,2,FALSE))</f>
        <v/>
      </c>
      <c r="F43" s="64"/>
      <c r="G43" s="68"/>
      <c r="H43" s="26" t="str">
        <f>IF(F43="","",VLOOKUP(F43,Parts_Data!$X$2:$Y$102,2,FALSE))</f>
        <v/>
      </c>
      <c r="I43" s="64"/>
      <c r="J43" s="26" t="str">
        <f>IF(I43="","",VLOOKUP(I43,Parts_Data!$T$2:$U$102,2,FALSE))</f>
        <v/>
      </c>
      <c r="K43" s="64"/>
      <c r="L43" s="68"/>
      <c r="M43" s="26" t="str">
        <f>IF(K43="","",VLOOKUP(K43,Parts_Data!$X$2:$Y$102,2,FALSE))</f>
        <v/>
      </c>
      <c r="N43" s="64"/>
      <c r="O43" s="26" t="str">
        <f>IF(N43="","",VLOOKUP(N43,Parts_Data!$T$2:$U$102,2,FALSE))</f>
        <v/>
      </c>
      <c r="P43" s="64"/>
      <c r="Q43" s="68"/>
      <c r="R43" s="26" t="str">
        <f>IF(P43="","",VLOOKUP(P43,Parts_Data!$X$2:$Y$102,2,FALSE))</f>
        <v/>
      </c>
      <c r="S43" s="64"/>
      <c r="T43" s="26" t="str">
        <f>IF(S43="","",VLOOKUP(S43,Parts_Data!$T$2:$U$102,2,FALSE))</f>
        <v/>
      </c>
      <c r="U43" s="64"/>
      <c r="V43" s="68"/>
      <c r="W43" s="26" t="str">
        <f>IF(U43="","",VLOOKUP(U43,Parts_Data!$X$2:$Y$102,2,FALSE))</f>
        <v/>
      </c>
      <c r="X43" s="64"/>
      <c r="Y43" s="26" t="str">
        <f>IF(X43="","",VLOOKUP(X43,Parts_Data!$T$2:$U$102,2,FALSE))</f>
        <v/>
      </c>
      <c r="Z43" s="64"/>
      <c r="AA43" s="68"/>
      <c r="AB43" s="26" t="str">
        <f>IF(Z43="","",VLOOKUP(Z43,Parts_Data!$X$2:$Y$102,2,FALSE))</f>
        <v/>
      </c>
      <c r="AC43" s="64"/>
      <c r="AD43" s="26" t="str">
        <f>IF(AC43="","",VLOOKUP(AC43,Parts_Data!$T$2:$U$102,2,FALSE))</f>
        <v/>
      </c>
      <c r="AE43" s="64"/>
      <c r="AF43" s="68"/>
      <c r="AG43" s="26" t="str">
        <f>IF(AE43="","",VLOOKUP(AE43,Parts_Data!$X$2:$Y$102,2,FALSE))</f>
        <v/>
      </c>
    </row>
    <row r="44" spans="1:33" ht="15.6" x14ac:dyDescent="0.3">
      <c r="A44" s="149" t="s">
        <v>312</v>
      </c>
      <c r="B44" s="64"/>
      <c r="C44" s="98"/>
      <c r="D44" s="64"/>
      <c r="E44" s="26" t="str">
        <f>IF(D44="","",VLOOKUP(D44,Parts_Data!$T$2:$U$102,2,FALSE))</f>
        <v/>
      </c>
      <c r="F44" s="64"/>
      <c r="G44" s="68"/>
      <c r="H44" s="26" t="str">
        <f>IF(F44="","",VLOOKUP(F44,Parts_Data!$X$2:$Y$102,2,FALSE))</f>
        <v/>
      </c>
      <c r="I44" s="64"/>
      <c r="J44" s="26" t="str">
        <f>IF(I44="","",VLOOKUP(I44,Parts_Data!$T$2:$U$102,2,FALSE))</f>
        <v/>
      </c>
      <c r="K44" s="64"/>
      <c r="L44" s="68"/>
      <c r="M44" s="26" t="str">
        <f>IF(K44="","",VLOOKUP(K44,Parts_Data!$X$2:$Y$102,2,FALSE))</f>
        <v/>
      </c>
      <c r="N44" s="64"/>
      <c r="O44" s="26" t="str">
        <f>IF(N44="","",VLOOKUP(N44,Parts_Data!$T$2:$U$102,2,FALSE))</f>
        <v/>
      </c>
      <c r="P44" s="64"/>
      <c r="Q44" s="68"/>
      <c r="R44" s="26" t="str">
        <f>IF(P44="","",VLOOKUP(P44,Parts_Data!$X$2:$Y$102,2,FALSE))</f>
        <v/>
      </c>
      <c r="S44" s="64"/>
      <c r="T44" s="26" t="str">
        <f>IF(S44="","",VLOOKUP(S44,Parts_Data!$T$2:$U$102,2,FALSE))</f>
        <v/>
      </c>
      <c r="U44" s="64"/>
      <c r="V44" s="68"/>
      <c r="W44" s="26" t="str">
        <f>IF(U44="","",VLOOKUP(U44,Parts_Data!$X$2:$Y$102,2,FALSE))</f>
        <v/>
      </c>
      <c r="X44" s="64"/>
      <c r="Y44" s="26" t="str">
        <f>IF(X44="","",VLOOKUP(X44,Parts_Data!$T$2:$U$102,2,FALSE))</f>
        <v/>
      </c>
      <c r="Z44" s="64"/>
      <c r="AA44" s="68"/>
      <c r="AB44" s="26" t="str">
        <f>IF(Z44="","",VLOOKUP(Z44,Parts_Data!$X$2:$Y$102,2,FALSE))</f>
        <v/>
      </c>
      <c r="AC44" s="64"/>
      <c r="AD44" s="26" t="str">
        <f>IF(AC44="","",VLOOKUP(AC44,Parts_Data!$T$2:$U$102,2,FALSE))</f>
        <v/>
      </c>
      <c r="AE44" s="64"/>
      <c r="AF44" s="68"/>
      <c r="AG44" s="26" t="str">
        <f>IF(AE44="","",VLOOKUP(AE44,Parts_Data!$X$2:$Y$102,2,FALSE))</f>
        <v/>
      </c>
    </row>
    <row r="45" spans="1:33" ht="15.6" x14ac:dyDescent="0.3">
      <c r="A45" s="149" t="s">
        <v>312</v>
      </c>
      <c r="B45" s="64"/>
      <c r="C45" s="98"/>
      <c r="D45" s="64"/>
      <c r="E45" s="26" t="str">
        <f>IF(D45="","",VLOOKUP(D45,Parts_Data!$T$2:$U$102,2,FALSE))</f>
        <v/>
      </c>
      <c r="F45" s="64"/>
      <c r="G45" s="68"/>
      <c r="H45" s="26" t="str">
        <f>IF(F45="","",VLOOKUP(F45,Parts_Data!$X$2:$Y$102,2,FALSE))</f>
        <v/>
      </c>
      <c r="I45" s="64"/>
      <c r="J45" s="26" t="str">
        <f>IF(I45="","",VLOOKUP(I45,Parts_Data!$T$2:$U$102,2,FALSE))</f>
        <v/>
      </c>
      <c r="K45" s="64"/>
      <c r="L45" s="68"/>
      <c r="M45" s="26" t="str">
        <f>IF(K45="","",VLOOKUP(K45,Parts_Data!$X$2:$Y$102,2,FALSE))</f>
        <v/>
      </c>
      <c r="N45" s="64"/>
      <c r="O45" s="26" t="str">
        <f>IF(N45="","",VLOOKUP(N45,Parts_Data!$T$2:$U$102,2,FALSE))</f>
        <v/>
      </c>
      <c r="P45" s="64"/>
      <c r="Q45" s="68"/>
      <c r="R45" s="26" t="str">
        <f>IF(P45="","",VLOOKUP(P45,Parts_Data!$X$2:$Y$102,2,FALSE))</f>
        <v/>
      </c>
      <c r="S45" s="64"/>
      <c r="T45" s="26" t="str">
        <f>IF(S45="","",VLOOKUP(S45,Parts_Data!$T$2:$U$102,2,FALSE))</f>
        <v/>
      </c>
      <c r="U45" s="64"/>
      <c r="V45" s="68"/>
      <c r="W45" s="26" t="str">
        <f>IF(U45="","",VLOOKUP(U45,Parts_Data!$X$2:$Y$102,2,FALSE))</f>
        <v/>
      </c>
      <c r="X45" s="64"/>
      <c r="Y45" s="26" t="str">
        <f>IF(X45="","",VLOOKUP(X45,Parts_Data!$T$2:$U$102,2,FALSE))</f>
        <v/>
      </c>
      <c r="Z45" s="64"/>
      <c r="AA45" s="68"/>
      <c r="AB45" s="26" t="str">
        <f>IF(Z45="","",VLOOKUP(Z45,Parts_Data!$X$2:$Y$102,2,FALSE))</f>
        <v/>
      </c>
      <c r="AC45" s="64"/>
      <c r="AD45" s="26" t="str">
        <f>IF(AC45="","",VLOOKUP(AC45,Parts_Data!$T$2:$U$102,2,FALSE))</f>
        <v/>
      </c>
      <c r="AE45" s="64"/>
      <c r="AF45" s="68"/>
      <c r="AG45" s="26" t="str">
        <f>IF(AE45="","",VLOOKUP(AE45,Parts_Data!$X$2:$Y$102,2,FALSE))</f>
        <v/>
      </c>
    </row>
    <row r="46" spans="1:33" ht="15.6" x14ac:dyDescent="0.3">
      <c r="A46" s="149" t="s">
        <v>312</v>
      </c>
      <c r="B46" s="64"/>
      <c r="C46" s="98"/>
      <c r="D46" s="64"/>
      <c r="E46" s="26" t="str">
        <f>IF(D46="","",VLOOKUP(D46,Parts_Data!$T$2:$U$102,2,FALSE))</f>
        <v/>
      </c>
      <c r="F46" s="64"/>
      <c r="G46" s="68"/>
      <c r="H46" s="26" t="str">
        <f>IF(F46="","",VLOOKUP(F46,Parts_Data!$X$2:$Y$102,2,FALSE))</f>
        <v/>
      </c>
      <c r="I46" s="64"/>
      <c r="J46" s="26" t="str">
        <f>IF(I46="","",VLOOKUP(I46,Parts_Data!$T$2:$U$102,2,FALSE))</f>
        <v/>
      </c>
      <c r="K46" s="64"/>
      <c r="L46" s="68"/>
      <c r="M46" s="26" t="str">
        <f>IF(K46="","",VLOOKUP(K46,Parts_Data!$X$2:$Y$102,2,FALSE))</f>
        <v/>
      </c>
      <c r="N46" s="64"/>
      <c r="O46" s="26" t="str">
        <f>IF(N46="","",VLOOKUP(N46,Parts_Data!$T$2:$U$102,2,FALSE))</f>
        <v/>
      </c>
      <c r="P46" s="64"/>
      <c r="Q46" s="68"/>
      <c r="R46" s="26" t="str">
        <f>IF(P46="","",VLOOKUP(P46,Parts_Data!$X$2:$Y$102,2,FALSE))</f>
        <v/>
      </c>
      <c r="S46" s="64"/>
      <c r="T46" s="26" t="str">
        <f>IF(S46="","",VLOOKUP(S46,Parts_Data!$T$2:$U$102,2,FALSE))</f>
        <v/>
      </c>
      <c r="U46" s="64"/>
      <c r="V46" s="68"/>
      <c r="W46" s="26" t="str">
        <f>IF(U46="","",VLOOKUP(U46,Parts_Data!$X$2:$Y$102,2,FALSE))</f>
        <v/>
      </c>
      <c r="X46" s="64"/>
      <c r="Y46" s="26" t="str">
        <f>IF(X46="","",VLOOKUP(X46,Parts_Data!$T$2:$U$102,2,FALSE))</f>
        <v/>
      </c>
      <c r="Z46" s="64"/>
      <c r="AA46" s="68"/>
      <c r="AB46" s="26" t="str">
        <f>IF(Z46="","",VLOOKUP(Z46,Parts_Data!$X$2:$Y$102,2,FALSE))</f>
        <v/>
      </c>
      <c r="AC46" s="64"/>
      <c r="AD46" s="26" t="str">
        <f>IF(AC46="","",VLOOKUP(AC46,Parts_Data!$T$2:$U$102,2,FALSE))</f>
        <v/>
      </c>
      <c r="AE46" s="64"/>
      <c r="AF46" s="68"/>
      <c r="AG46" s="26" t="str">
        <f>IF(AE46="","",VLOOKUP(AE46,Parts_Data!$X$2:$Y$102,2,FALSE))</f>
        <v/>
      </c>
    </row>
  </sheetData>
  <sheetProtection algorithmName="SHA-512" hashValue="Pjpz8Ox6stQzZnkBxjEZO5IyYRhHTJVPTkw+clsa3AB+tzOP8KrP31UaGlbT60oWS/xhxjd8jClDpeA4FlEQSA==" saltValue="7MujAT4RAI/6yMFVOZ2pyQ==" spinCount="100000" sheet="1" objects="1" scenarios="1" formatCells="0" formatColumns="0" formatRows="0" selectLockedCells="1"/>
  <mergeCells count="8">
    <mergeCell ref="C8:D8"/>
    <mergeCell ref="E8:F8"/>
    <mergeCell ref="B2:B4"/>
    <mergeCell ref="C2:G4"/>
    <mergeCell ref="C6:D6"/>
    <mergeCell ref="E6:F6"/>
    <mergeCell ref="C7:D7"/>
    <mergeCell ref="E7:F7"/>
  </mergeCells>
  <phoneticPr fontId="1" type="noConversion"/>
  <conditionalFormatting sqref="B17:B41">
    <cfRule type="expression" dxfId="107" priority="141">
      <formula>IF(#REF!="","Double","")</formula>
    </cfRule>
  </conditionalFormatting>
  <conditionalFormatting sqref="B15:B16">
    <cfRule type="expression" dxfId="106" priority="64">
      <formula>IF(#REF!="","Double","")</formula>
    </cfRule>
  </conditionalFormatting>
  <conditionalFormatting sqref="B14">
    <cfRule type="expression" dxfId="105" priority="60">
      <formula>IF(#REF!="","Double","")</formula>
    </cfRule>
  </conditionalFormatting>
  <conditionalFormatting sqref="B13">
    <cfRule type="expression" dxfId="104" priority="40">
      <formula>IF(#REF!="","Double","")</formula>
    </cfRule>
  </conditionalFormatting>
  <conditionalFormatting sqref="B12">
    <cfRule type="expression" dxfId="103" priority="15">
      <formula>IF(#REF!="","Double","")</formula>
    </cfRule>
  </conditionalFormatting>
  <conditionalFormatting sqref="B42">
    <cfRule type="expression" dxfId="102" priority="14">
      <formula>IF(#REF!="","Double","")</formula>
    </cfRule>
  </conditionalFormatting>
  <conditionalFormatting sqref="B43">
    <cfRule type="expression" dxfId="101" priority="13">
      <formula>IF(#REF!="","Double","")</formula>
    </cfRule>
  </conditionalFormatting>
  <conditionalFormatting sqref="B44">
    <cfRule type="expression" dxfId="100" priority="12">
      <formula>IF(#REF!="","Double","")</formula>
    </cfRule>
  </conditionalFormatting>
  <conditionalFormatting sqref="B45">
    <cfRule type="expression" dxfId="99" priority="11">
      <formula>IF(#REF!="","Double","")</formula>
    </cfRule>
  </conditionalFormatting>
  <conditionalFormatting sqref="B46">
    <cfRule type="expression" dxfId="98" priority="10">
      <formula>IF(#REF!="","Double","")</formula>
    </cfRule>
  </conditionalFormatting>
  <dataValidations count="3">
    <dataValidation type="list" allowBlank="1" showInputMessage="1" showErrorMessage="1" sqref="AC12:AC46 I12:I46 D12:D46 S12:S46 N12:N46 X12:X46" xr:uid="{665A7C3A-99C4-4456-B949-67A437952D55}">
      <formula1>INDIRECT($C$10)</formula1>
    </dataValidation>
    <dataValidation type="list" allowBlank="1" showInputMessage="1" showErrorMessage="1" sqref="AE12:AE46 P12:P46 K12:K46 U12:U46 F12:F46 Z12:Z46" xr:uid="{47AFB73F-F3B6-46D5-8219-A21DA0567E95}">
      <formula1>INDIRECT($E$10)</formula1>
    </dataValidation>
    <dataValidation type="list" allowBlank="1" showInputMessage="1" showErrorMessage="1" sqref="C12:C46" xr:uid="{C576A397-CE57-407F-A480-04F45FB67C10}">
      <formula1>INDIRECT($B12)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3" r:id="rId4" name="Button 21">
              <controlPr defaultSize="0" print="0" autoFill="0" autoPict="0" macro="[0]!Sheet4.DoubleBlankLine">
                <anchor moveWithCells="1" sizeWithCells="1">
                  <from>
                    <xdr:col>0</xdr:col>
                    <xdr:colOff>30480</xdr:colOff>
                    <xdr:row>1</xdr:row>
                    <xdr:rowOff>7620</xdr:rowOff>
                  </from>
                  <to>
                    <xdr:col>0</xdr:col>
                    <xdr:colOff>1089660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5" name="Button 24">
              <controlPr defaultSize="0" print="0" autoFill="0" autoPict="0" macro="[0]!Sheet4.RemoveDoubleLines">
                <anchor moveWithCells="1" sizeWithCells="1">
                  <from>
                    <xdr:col>0</xdr:col>
                    <xdr:colOff>30480</xdr:colOff>
                    <xdr:row>3</xdr:row>
                    <xdr:rowOff>106680</xdr:rowOff>
                  </from>
                  <to>
                    <xdr:col>0</xdr:col>
                    <xdr:colOff>1089660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6" name="Button 28">
              <controlPr defaultSize="0" print="0" autoFill="0" autoPict="0" macro="[0]!Sheet4.NewPowerSupplies">
                <anchor moveWithCells="1" sizeWithCells="1">
                  <from>
                    <xdr:col>0</xdr:col>
                    <xdr:colOff>30480</xdr:colOff>
                    <xdr:row>6</xdr:row>
                    <xdr:rowOff>83820</xdr:rowOff>
                  </from>
                  <to>
                    <xdr:col>0</xdr:col>
                    <xdr:colOff>1089660</xdr:colOff>
                    <xdr:row>7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E0C465-DF97-4C6F-8B01-77059226CCBA}">
          <x14:formula1>
            <xm:f>Structure_Data!$A$48:$B$48</xm:f>
          </x14:formula1>
          <xm:sqref>B12:B46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8E676-2E6A-46A8-8D3A-84245AF3E0AA}">
  <sheetPr codeName="Sheet8"/>
  <dimension ref="A1:EW37"/>
  <sheetViews>
    <sheetView showGridLines="0" topLeftCell="C1" workbookViewId="0">
      <pane xSplit="1" ySplit="13" topLeftCell="D14" activePane="bottomRight" state="frozen"/>
      <selection activeCell="C1" sqref="C1"/>
      <selection pane="topRight" activeCell="D1" sqref="D1"/>
      <selection pane="bottomLeft" activeCell="C14" sqref="C14"/>
      <selection pane="bottomRight" activeCell="F19" sqref="F19"/>
    </sheetView>
  </sheetViews>
  <sheetFormatPr defaultColWidth="11.109375" defaultRowHeight="14.4" x14ac:dyDescent="0.3"/>
  <cols>
    <col min="1" max="1" width="23.33203125" hidden="1" customWidth="1"/>
    <col min="2" max="2" width="11.109375" hidden="1" customWidth="1"/>
    <col min="3" max="3" width="31.44140625" bestFit="1" customWidth="1"/>
    <col min="4" max="4" width="18.109375" bestFit="1" customWidth="1"/>
    <col min="5" max="5" width="12.88671875" bestFit="1" customWidth="1"/>
    <col min="6" max="6" width="28.21875" customWidth="1"/>
    <col min="7" max="7" width="24.109375" bestFit="1" customWidth="1"/>
    <col min="8" max="8" width="14.33203125" bestFit="1" customWidth="1"/>
    <col min="9" max="9" width="17.109375" bestFit="1" customWidth="1"/>
    <col min="10" max="10" width="9.5546875" bestFit="1" customWidth="1"/>
    <col min="11" max="11" width="11.109375" bestFit="1" customWidth="1"/>
    <col min="12" max="12" width="16.6640625" customWidth="1"/>
    <col min="13" max="13" width="11.77734375" customWidth="1"/>
    <col min="14" max="14" width="14.33203125" bestFit="1" customWidth="1"/>
    <col min="15" max="15" width="11.88671875" bestFit="1" customWidth="1"/>
    <col min="16" max="16" width="17.109375" bestFit="1" customWidth="1"/>
    <col min="18" max="18" width="9.33203125" bestFit="1" customWidth="1"/>
    <col min="19" max="19" width="14.44140625" bestFit="1" customWidth="1"/>
    <col min="20" max="20" width="11" bestFit="1" customWidth="1"/>
    <col min="21" max="21" width="14.33203125" bestFit="1" customWidth="1"/>
    <col min="22" max="22" width="9.5546875" bestFit="1" customWidth="1"/>
    <col min="24" max="24" width="12.88671875" bestFit="1" customWidth="1"/>
    <col min="25" max="25" width="9.33203125" bestFit="1" customWidth="1"/>
    <col min="26" max="26" width="14.33203125" bestFit="1" customWidth="1"/>
    <col min="27" max="27" width="11.88671875" bestFit="1" customWidth="1"/>
    <col min="28" max="28" width="9.5546875" bestFit="1" customWidth="1"/>
    <col min="29" max="29" width="17.109375" bestFit="1" customWidth="1"/>
    <col min="30" max="30" width="9.33203125" bestFit="1" customWidth="1"/>
    <col min="31" max="31" width="14.33203125" bestFit="1" customWidth="1"/>
    <col min="32" max="32" width="11" bestFit="1" customWidth="1"/>
    <col min="33" max="33" width="11.88671875" bestFit="1" customWidth="1"/>
    <col min="34" max="34" width="17.109375" bestFit="1" customWidth="1"/>
    <col min="36" max="37" width="9.33203125" bestFit="1" customWidth="1"/>
    <col min="38" max="38" width="11" bestFit="1" customWidth="1"/>
    <col min="39" max="39" width="11.88671875" bestFit="1" customWidth="1"/>
    <col min="40" max="40" width="9.5546875" bestFit="1" customWidth="1"/>
    <col min="42" max="43" width="9.33203125" bestFit="1" customWidth="1"/>
    <col min="44" max="44" width="11" bestFit="1" customWidth="1"/>
    <col min="45" max="45" width="11.88671875" bestFit="1" customWidth="1"/>
    <col min="46" max="46" width="9.5546875" bestFit="1" customWidth="1"/>
    <col min="48" max="49" width="9.33203125" bestFit="1" customWidth="1"/>
    <col min="50" max="50" width="11" bestFit="1" customWidth="1"/>
    <col min="51" max="51" width="11.88671875" bestFit="1" customWidth="1"/>
    <col min="52" max="52" width="9.5546875" bestFit="1" customWidth="1"/>
    <col min="54" max="55" width="9.33203125" bestFit="1" customWidth="1"/>
    <col min="56" max="56" width="11" bestFit="1" customWidth="1"/>
    <col min="57" max="57" width="14.33203125" bestFit="1" customWidth="1"/>
    <col min="58" max="58" width="9.5546875" bestFit="1" customWidth="1"/>
    <col min="60" max="61" width="9.33203125" bestFit="1" customWidth="1"/>
    <col min="62" max="62" width="11" bestFit="1" customWidth="1"/>
    <col min="63" max="63" width="11.88671875" bestFit="1" customWidth="1"/>
    <col min="64" max="64" width="9.5546875" bestFit="1" customWidth="1"/>
    <col min="66" max="67" width="9.33203125" bestFit="1" customWidth="1"/>
    <col min="68" max="68" width="11" bestFit="1" customWidth="1"/>
    <col min="69" max="69" width="11.88671875" bestFit="1" customWidth="1"/>
    <col min="70" max="70" width="9.5546875" bestFit="1" customWidth="1"/>
    <col min="72" max="73" width="9.33203125" bestFit="1" customWidth="1"/>
    <col min="74" max="74" width="11" bestFit="1" customWidth="1"/>
    <col min="75" max="75" width="11.88671875" bestFit="1" customWidth="1"/>
    <col min="76" max="76" width="9.5546875" bestFit="1" customWidth="1"/>
    <col min="78" max="79" width="9.33203125" bestFit="1" customWidth="1"/>
    <col min="80" max="80" width="11" bestFit="1" customWidth="1"/>
    <col min="81" max="81" width="14.33203125" customWidth="1"/>
    <col min="82" max="82" width="9.5546875" bestFit="1" customWidth="1"/>
    <col min="84" max="85" width="9.33203125" bestFit="1" customWidth="1"/>
    <col min="86" max="86" width="11" bestFit="1" customWidth="1"/>
    <col min="87" max="87" width="14.33203125" bestFit="1" customWidth="1"/>
    <col min="88" max="88" width="9.5546875" bestFit="1" customWidth="1"/>
    <col min="90" max="91" width="9.33203125" bestFit="1" customWidth="1"/>
    <col min="92" max="92" width="11" bestFit="1" customWidth="1"/>
    <col min="93" max="93" width="14.33203125" bestFit="1" customWidth="1"/>
    <col min="94" max="94" width="9.5546875" bestFit="1" customWidth="1"/>
    <col min="96" max="97" width="9.33203125" bestFit="1" customWidth="1"/>
    <col min="98" max="98" width="11" bestFit="1" customWidth="1"/>
    <col min="99" max="99" width="14.33203125" bestFit="1" customWidth="1"/>
    <col min="100" max="100" width="9.5546875" bestFit="1" customWidth="1"/>
    <col min="102" max="103" width="9.33203125" bestFit="1" customWidth="1"/>
    <col min="104" max="104" width="11" bestFit="1" customWidth="1"/>
    <col min="105" max="105" width="11.88671875" bestFit="1" customWidth="1"/>
    <col min="106" max="106" width="9.5546875" bestFit="1" customWidth="1"/>
    <col min="108" max="109" width="9.33203125" bestFit="1" customWidth="1"/>
    <col min="110" max="110" width="11" bestFit="1" customWidth="1"/>
    <col min="111" max="111" width="14.33203125" bestFit="1" customWidth="1"/>
    <col min="112" max="112" width="9.5546875" bestFit="1" customWidth="1"/>
    <col min="114" max="114" width="9.33203125" bestFit="1" customWidth="1"/>
    <col min="115" max="115" width="9.33203125" customWidth="1"/>
    <col min="116" max="116" width="11" bestFit="1" customWidth="1"/>
    <col min="117" max="117" width="14.33203125" bestFit="1" customWidth="1"/>
    <col min="118" max="118" width="9.5546875" bestFit="1" customWidth="1"/>
    <col min="120" max="121" width="9.33203125" bestFit="1" customWidth="1"/>
    <col min="122" max="122" width="11" bestFit="1" customWidth="1"/>
    <col min="123" max="123" width="11.88671875" bestFit="1" customWidth="1"/>
    <col min="124" max="124" width="9.5546875" bestFit="1" customWidth="1"/>
    <col min="126" max="127" width="9.33203125" bestFit="1" customWidth="1"/>
    <col min="128" max="128" width="11" bestFit="1" customWidth="1"/>
    <col min="129" max="129" width="14.33203125" bestFit="1" customWidth="1"/>
    <col min="130" max="130" width="9.5546875" bestFit="1" customWidth="1"/>
    <col min="132" max="133" width="9.33203125" bestFit="1" customWidth="1"/>
    <col min="134" max="134" width="11" bestFit="1" customWidth="1"/>
    <col min="135" max="135" width="11.88671875" bestFit="1" customWidth="1"/>
    <col min="136" max="136" width="9.5546875" bestFit="1" customWidth="1"/>
    <col min="138" max="139" width="9.33203125" bestFit="1" customWidth="1"/>
    <col min="140" max="140" width="11" bestFit="1" customWidth="1"/>
    <col min="141" max="141" width="11.88671875" bestFit="1" customWidth="1"/>
    <col min="142" max="142" width="9.5546875" bestFit="1" customWidth="1"/>
    <col min="144" max="145" width="9.33203125" bestFit="1" customWidth="1"/>
    <col min="146" max="146" width="11" bestFit="1" customWidth="1"/>
    <col min="147" max="147" width="11.88671875" bestFit="1" customWidth="1"/>
    <col min="148" max="148" width="9.5546875" bestFit="1" customWidth="1"/>
    <col min="150" max="151" width="9.33203125" bestFit="1" customWidth="1"/>
    <col min="152" max="152" width="11" bestFit="1" customWidth="1"/>
    <col min="153" max="153" width="14.33203125" bestFit="1" customWidth="1"/>
  </cols>
  <sheetData>
    <row r="1" spans="1:153" x14ac:dyDescent="0.3">
      <c r="D1" s="7"/>
      <c r="E1" s="7"/>
      <c r="F1" s="7"/>
      <c r="G1" s="7"/>
      <c r="H1" s="7"/>
      <c r="I1" s="7"/>
    </row>
    <row r="2" spans="1:153" x14ac:dyDescent="0.3">
      <c r="D2" s="182"/>
      <c r="E2" s="183" t="s">
        <v>253</v>
      </c>
      <c r="F2" s="183"/>
      <c r="G2" s="183"/>
      <c r="H2" s="183"/>
      <c r="I2" s="183"/>
    </row>
    <row r="3" spans="1:153" x14ac:dyDescent="0.3">
      <c r="D3" s="182"/>
      <c r="E3" s="183"/>
      <c r="F3" s="183"/>
      <c r="G3" s="183"/>
      <c r="H3" s="183"/>
      <c r="I3" s="183"/>
    </row>
    <row r="4" spans="1:153" ht="15" thickBot="1" x14ac:dyDescent="0.35">
      <c r="D4" s="182"/>
      <c r="E4" s="183"/>
      <c r="F4" s="183"/>
      <c r="G4" s="183"/>
      <c r="H4" s="183"/>
      <c r="I4" s="183"/>
    </row>
    <row r="5" spans="1:153" ht="4.5" customHeight="1" thickBot="1" x14ac:dyDescent="0.35">
      <c r="D5" s="124"/>
      <c r="E5" s="125"/>
      <c r="F5" s="125"/>
      <c r="G5" s="125"/>
      <c r="H5" s="125"/>
      <c r="I5" s="126"/>
    </row>
    <row r="6" spans="1:153" ht="18" x14ac:dyDescent="0.35">
      <c r="D6" s="38" t="s">
        <v>44</v>
      </c>
      <c r="E6" s="202" t="s">
        <v>51</v>
      </c>
      <c r="F6" s="202"/>
      <c r="G6" s="202" t="s">
        <v>48</v>
      </c>
      <c r="H6" s="202"/>
      <c r="I6" s="39" t="s">
        <v>45</v>
      </c>
    </row>
    <row r="7" spans="1:153" ht="15.6" x14ac:dyDescent="0.3">
      <c r="D7" s="79">
        <f>CoverSheet!B7</f>
        <v>44883</v>
      </c>
      <c r="E7" s="197" t="str">
        <f>CoverSheet!C7</f>
        <v>GR700</v>
      </c>
      <c r="F7" s="197"/>
      <c r="G7" s="197" t="str">
        <f>CoverSheet!E7</f>
        <v>WD-OR-VAC-GR700</v>
      </c>
      <c r="H7" s="197"/>
      <c r="I7" s="80" t="str">
        <f>CoverSheet!G7</f>
        <v>Saba Saba</v>
      </c>
      <c r="N7" t="s">
        <v>176</v>
      </c>
    </row>
    <row r="8" spans="1:153" ht="18" x14ac:dyDescent="0.35">
      <c r="D8" s="198" t="s">
        <v>186</v>
      </c>
      <c r="E8" s="176"/>
      <c r="F8" s="176" t="s">
        <v>183</v>
      </c>
      <c r="G8" s="176"/>
      <c r="H8" s="176" t="s">
        <v>184</v>
      </c>
      <c r="I8" s="204"/>
      <c r="K8" s="208"/>
      <c r="L8" s="208"/>
    </row>
    <row r="9" spans="1:153" ht="15.6" x14ac:dyDescent="0.3">
      <c r="A9">
        <f>VLOOKUP(D9,Structure_Data!A54:C57,3,FALSE)</f>
        <v>16</v>
      </c>
      <c r="B9" t="s">
        <v>200</v>
      </c>
      <c r="D9" s="199" t="s">
        <v>198</v>
      </c>
      <c r="E9" s="191"/>
      <c r="F9" s="197" t="str">
        <f>VLOOKUP(D9,Structure_Data!A54:B57,2,FALSE)</f>
        <v>GM-IE3400H-16T</v>
      </c>
      <c r="G9" s="197"/>
      <c r="H9" s="191" t="s">
        <v>292</v>
      </c>
      <c r="I9" s="203"/>
    </row>
    <row r="10" spans="1:153" ht="18.600000000000001" thickBot="1" x14ac:dyDescent="0.4">
      <c r="D10" s="130" t="s">
        <v>185</v>
      </c>
      <c r="E10" s="206" t="str">
        <f>CONCATENATE(E7,"",H9)</f>
        <v>GR700ES1</v>
      </c>
      <c r="F10" s="207"/>
      <c r="G10" s="131" t="s">
        <v>204</v>
      </c>
      <c r="H10" s="132"/>
      <c r="I10" s="40" t="str">
        <f>CoverSheet!G11</f>
        <v>v1.2.1</v>
      </c>
    </row>
    <row r="11" spans="1:153" ht="4.5" customHeight="1" thickBot="1" x14ac:dyDescent="0.4">
      <c r="D11" s="127"/>
      <c r="E11" s="128"/>
      <c r="F11" s="128"/>
      <c r="G11" s="128"/>
      <c r="H11" s="128"/>
      <c r="I11" s="129"/>
    </row>
    <row r="12" spans="1:153" ht="15.75" hidden="1" customHeight="1" thickBot="1" x14ac:dyDescent="0.35">
      <c r="E12" t="s">
        <v>210</v>
      </c>
      <c r="G12" t="s">
        <v>211</v>
      </c>
      <c r="I12" t="s">
        <v>210</v>
      </c>
      <c r="K12" t="s">
        <v>211</v>
      </c>
      <c r="N12" t="s">
        <v>210</v>
      </c>
      <c r="P12" t="s">
        <v>211</v>
      </c>
      <c r="S12" t="s">
        <v>210</v>
      </c>
      <c r="U12" t="s">
        <v>211</v>
      </c>
      <c r="X12" t="s">
        <v>210</v>
      </c>
      <c r="Z12" t="s">
        <v>211</v>
      </c>
      <c r="AC12" t="s">
        <v>210</v>
      </c>
      <c r="AE12" t="s">
        <v>211</v>
      </c>
      <c r="AH12" t="s">
        <v>210</v>
      </c>
    </row>
    <row r="13" spans="1:153" ht="54.6" thickBot="1" x14ac:dyDescent="0.35">
      <c r="C13" s="5" t="s">
        <v>310</v>
      </c>
      <c r="D13" s="6" t="s">
        <v>34</v>
      </c>
      <c r="E13" s="35" t="s">
        <v>35</v>
      </c>
      <c r="F13" s="6" t="s">
        <v>36</v>
      </c>
      <c r="G13" s="36" t="s">
        <v>139</v>
      </c>
      <c r="H13" s="35" t="s">
        <v>205</v>
      </c>
      <c r="I13" s="35" t="s">
        <v>206</v>
      </c>
      <c r="J13" s="6" t="s">
        <v>34</v>
      </c>
      <c r="K13" s="35" t="s">
        <v>35</v>
      </c>
      <c r="L13" s="6" t="s">
        <v>37</v>
      </c>
      <c r="M13" s="36" t="s">
        <v>140</v>
      </c>
      <c r="N13" s="35" t="s">
        <v>205</v>
      </c>
      <c r="O13" s="35" t="s">
        <v>206</v>
      </c>
      <c r="P13" s="6" t="s">
        <v>34</v>
      </c>
      <c r="Q13" s="35" t="s">
        <v>35</v>
      </c>
      <c r="R13" s="6" t="s">
        <v>38</v>
      </c>
      <c r="S13" s="36" t="s">
        <v>141</v>
      </c>
      <c r="T13" s="35" t="s">
        <v>205</v>
      </c>
      <c r="U13" s="35" t="s">
        <v>206</v>
      </c>
      <c r="V13" s="6" t="s">
        <v>34</v>
      </c>
      <c r="W13" s="35" t="s">
        <v>35</v>
      </c>
      <c r="X13" s="6" t="s">
        <v>39</v>
      </c>
      <c r="Y13" s="36" t="s">
        <v>142</v>
      </c>
      <c r="Z13" s="35" t="s">
        <v>205</v>
      </c>
      <c r="AA13" s="35" t="s">
        <v>206</v>
      </c>
      <c r="AB13" s="6" t="s">
        <v>34</v>
      </c>
      <c r="AC13" s="35" t="s">
        <v>35</v>
      </c>
      <c r="AD13" s="6" t="s">
        <v>40</v>
      </c>
      <c r="AE13" s="36" t="s">
        <v>143</v>
      </c>
      <c r="AF13" s="35" t="s">
        <v>205</v>
      </c>
      <c r="AG13" s="35" t="s">
        <v>206</v>
      </c>
      <c r="AH13" s="6" t="s">
        <v>34</v>
      </c>
      <c r="AI13" s="35" t="s">
        <v>35</v>
      </c>
      <c r="AJ13" s="6" t="s">
        <v>41</v>
      </c>
      <c r="AK13" s="36" t="s">
        <v>144</v>
      </c>
      <c r="AL13" s="35" t="s">
        <v>205</v>
      </c>
      <c r="AM13" s="35" t="s">
        <v>206</v>
      </c>
      <c r="AN13" s="6" t="s">
        <v>34</v>
      </c>
      <c r="AO13" s="35" t="s">
        <v>35</v>
      </c>
      <c r="AP13" s="6" t="s">
        <v>42</v>
      </c>
      <c r="AQ13" s="36" t="s">
        <v>145</v>
      </c>
      <c r="AR13" s="35" t="s">
        <v>205</v>
      </c>
      <c r="AS13" s="35" t="s">
        <v>206</v>
      </c>
      <c r="AT13" s="6" t="s">
        <v>34</v>
      </c>
      <c r="AU13" s="35" t="s">
        <v>35</v>
      </c>
      <c r="AV13" s="6" t="s">
        <v>43</v>
      </c>
      <c r="AW13" s="36" t="s">
        <v>146</v>
      </c>
      <c r="AX13" s="35" t="s">
        <v>205</v>
      </c>
      <c r="AY13" s="35" t="s">
        <v>206</v>
      </c>
      <c r="AZ13" s="6" t="s">
        <v>34</v>
      </c>
      <c r="BA13" s="35" t="s">
        <v>35</v>
      </c>
      <c r="BB13" s="6" t="s">
        <v>212</v>
      </c>
      <c r="BC13" s="36" t="s">
        <v>213</v>
      </c>
      <c r="BD13" s="35" t="s">
        <v>205</v>
      </c>
      <c r="BE13" s="35" t="s">
        <v>206</v>
      </c>
      <c r="BF13" s="6" t="s">
        <v>34</v>
      </c>
      <c r="BG13" s="35" t="s">
        <v>35</v>
      </c>
      <c r="BH13" s="6" t="s">
        <v>214</v>
      </c>
      <c r="BI13" s="36" t="s">
        <v>215</v>
      </c>
      <c r="BJ13" s="35" t="s">
        <v>205</v>
      </c>
      <c r="BK13" s="35" t="s">
        <v>206</v>
      </c>
      <c r="BL13" s="6" t="s">
        <v>34</v>
      </c>
      <c r="BM13" s="35" t="s">
        <v>35</v>
      </c>
      <c r="BN13" s="6" t="s">
        <v>216</v>
      </c>
      <c r="BO13" s="36" t="s">
        <v>217</v>
      </c>
      <c r="BP13" s="35" t="s">
        <v>205</v>
      </c>
      <c r="BQ13" s="35" t="s">
        <v>206</v>
      </c>
      <c r="BR13" s="6" t="s">
        <v>34</v>
      </c>
      <c r="BS13" s="35" t="s">
        <v>35</v>
      </c>
      <c r="BT13" s="6" t="s">
        <v>218</v>
      </c>
      <c r="BU13" s="36" t="s">
        <v>219</v>
      </c>
      <c r="BV13" s="35" t="s">
        <v>205</v>
      </c>
      <c r="BW13" s="35" t="s">
        <v>206</v>
      </c>
      <c r="BX13" s="6" t="s">
        <v>34</v>
      </c>
      <c r="BY13" s="35" t="s">
        <v>35</v>
      </c>
      <c r="BZ13" s="6" t="s">
        <v>220</v>
      </c>
      <c r="CA13" s="36" t="s">
        <v>221</v>
      </c>
      <c r="CB13" s="35" t="s">
        <v>205</v>
      </c>
      <c r="CC13" s="35" t="s">
        <v>206</v>
      </c>
      <c r="CD13" s="6" t="s">
        <v>34</v>
      </c>
      <c r="CE13" s="35" t="s">
        <v>35</v>
      </c>
      <c r="CF13" s="6" t="s">
        <v>222</v>
      </c>
      <c r="CG13" s="36" t="s">
        <v>223</v>
      </c>
      <c r="CH13" s="35" t="s">
        <v>205</v>
      </c>
      <c r="CI13" s="35" t="s">
        <v>206</v>
      </c>
      <c r="CJ13" s="6" t="s">
        <v>34</v>
      </c>
      <c r="CK13" s="35" t="s">
        <v>35</v>
      </c>
      <c r="CL13" s="6" t="s">
        <v>224</v>
      </c>
      <c r="CM13" s="36" t="s">
        <v>225</v>
      </c>
      <c r="CN13" s="35" t="s">
        <v>205</v>
      </c>
      <c r="CO13" s="35" t="s">
        <v>206</v>
      </c>
      <c r="CP13" s="6" t="s">
        <v>34</v>
      </c>
      <c r="CQ13" s="35" t="s">
        <v>35</v>
      </c>
      <c r="CR13" s="6" t="s">
        <v>226</v>
      </c>
      <c r="CS13" s="36" t="s">
        <v>227</v>
      </c>
      <c r="CT13" s="35" t="s">
        <v>205</v>
      </c>
      <c r="CU13" s="35" t="s">
        <v>206</v>
      </c>
      <c r="CV13" s="6" t="s">
        <v>34</v>
      </c>
      <c r="CW13" s="35" t="s">
        <v>35</v>
      </c>
      <c r="CX13" s="6" t="s">
        <v>228</v>
      </c>
      <c r="CY13" s="36" t="s">
        <v>229</v>
      </c>
      <c r="CZ13" s="35" t="s">
        <v>205</v>
      </c>
      <c r="DA13" s="35" t="s">
        <v>206</v>
      </c>
      <c r="DB13" s="6" t="s">
        <v>34</v>
      </c>
      <c r="DC13" s="35" t="s">
        <v>35</v>
      </c>
      <c r="DD13" s="6" t="s">
        <v>230</v>
      </c>
      <c r="DE13" s="36" t="s">
        <v>231</v>
      </c>
      <c r="DF13" s="35" t="s">
        <v>205</v>
      </c>
      <c r="DG13" s="35" t="s">
        <v>206</v>
      </c>
      <c r="DH13" s="6" t="s">
        <v>34</v>
      </c>
      <c r="DI13" s="35" t="s">
        <v>35</v>
      </c>
      <c r="DJ13" s="6" t="s">
        <v>232</v>
      </c>
      <c r="DK13" s="36" t="s">
        <v>233</v>
      </c>
      <c r="DL13" s="35" t="s">
        <v>205</v>
      </c>
      <c r="DM13" s="35" t="s">
        <v>206</v>
      </c>
      <c r="DN13" s="6" t="s">
        <v>34</v>
      </c>
      <c r="DO13" s="35" t="s">
        <v>35</v>
      </c>
      <c r="DP13" s="6" t="s">
        <v>235</v>
      </c>
      <c r="DQ13" s="36" t="s">
        <v>234</v>
      </c>
      <c r="DR13" s="35" t="s">
        <v>205</v>
      </c>
      <c r="DS13" s="35" t="s">
        <v>206</v>
      </c>
      <c r="DT13" s="6" t="s">
        <v>34</v>
      </c>
      <c r="DU13" s="35" t="s">
        <v>35</v>
      </c>
      <c r="DV13" s="6" t="s">
        <v>236</v>
      </c>
      <c r="DW13" s="36" t="s">
        <v>237</v>
      </c>
      <c r="DX13" s="35" t="s">
        <v>205</v>
      </c>
      <c r="DY13" s="35" t="s">
        <v>206</v>
      </c>
      <c r="DZ13" s="6" t="s">
        <v>34</v>
      </c>
      <c r="EA13" s="35" t="s">
        <v>35</v>
      </c>
      <c r="EB13" s="6" t="s">
        <v>238</v>
      </c>
      <c r="EC13" s="36" t="s">
        <v>239</v>
      </c>
      <c r="ED13" s="35" t="s">
        <v>205</v>
      </c>
      <c r="EE13" s="35" t="s">
        <v>206</v>
      </c>
      <c r="EF13" s="6" t="s">
        <v>34</v>
      </c>
      <c r="EG13" s="35" t="s">
        <v>35</v>
      </c>
      <c r="EH13" s="6" t="s">
        <v>240</v>
      </c>
      <c r="EI13" s="36" t="s">
        <v>241</v>
      </c>
      <c r="EJ13" s="35" t="s">
        <v>205</v>
      </c>
      <c r="EK13" s="35" t="s">
        <v>206</v>
      </c>
      <c r="EL13" s="6" t="s">
        <v>34</v>
      </c>
      <c r="EM13" s="35" t="s">
        <v>35</v>
      </c>
      <c r="EN13" s="6" t="s">
        <v>242</v>
      </c>
      <c r="EO13" s="36" t="s">
        <v>243</v>
      </c>
      <c r="EP13" s="35" t="s">
        <v>205</v>
      </c>
      <c r="EQ13" s="35" t="s">
        <v>206</v>
      </c>
      <c r="ER13" s="6" t="s">
        <v>34</v>
      </c>
      <c r="ES13" s="35" t="s">
        <v>35</v>
      </c>
      <c r="ET13" s="6" t="s">
        <v>244</v>
      </c>
      <c r="EU13" s="36" t="s">
        <v>245</v>
      </c>
      <c r="EV13" s="35" t="s">
        <v>205</v>
      </c>
      <c r="EW13" s="35" t="s">
        <v>206</v>
      </c>
    </row>
    <row r="14" spans="1:153" ht="15.6" x14ac:dyDescent="0.3">
      <c r="A14" t="str">
        <f t="shared" ref="A14:A37" si="0">$E$10</f>
        <v>GR700ES1</v>
      </c>
      <c r="B14" s="50">
        <v>1</v>
      </c>
      <c r="C14" s="32" t="str">
        <f t="shared" ref="C14:C37" si="1">IF(B14&lt;=$A$9,CONCATENATE(A14,".",B14),"")</f>
        <v>GR700ES1.1</v>
      </c>
      <c r="D14" s="62"/>
      <c r="E14" s="33" t="str">
        <f>IF(D14="","",VLOOKUP(D14,Parts_Data!$AB$2:$AC$102,2,FALSE))</f>
        <v/>
      </c>
      <c r="F14" s="62"/>
      <c r="G14" s="66"/>
      <c r="H14" s="73"/>
      <c r="I14" s="113"/>
      <c r="J14" s="62"/>
      <c r="K14" s="33" t="str">
        <f>IF(J14="","",VLOOKUP(J14,Parts_Data!$AB$2:$AC$102,2,FALSE))</f>
        <v/>
      </c>
      <c r="L14" s="62"/>
      <c r="M14" s="66"/>
      <c r="N14" s="73"/>
      <c r="O14" s="113"/>
      <c r="P14" s="62"/>
      <c r="Q14" s="33" t="str">
        <f>IF(P14="","",VLOOKUP(P14,Parts_Data!$AB$2:$AC$102,2,FALSE))</f>
        <v/>
      </c>
      <c r="R14" s="62"/>
      <c r="S14" s="66"/>
      <c r="T14" s="73"/>
      <c r="U14" s="113"/>
      <c r="V14" s="62"/>
      <c r="W14" s="33" t="str">
        <f>IF(V14="","",VLOOKUP(V14,Parts_Data!$AB$2:$AC$102,2,FALSE))</f>
        <v/>
      </c>
      <c r="X14" s="62"/>
      <c r="Y14" s="66"/>
      <c r="Z14" s="73"/>
      <c r="AA14" s="113"/>
      <c r="AB14" s="62"/>
      <c r="AC14" s="33" t="str">
        <f>IF(AB14="","",VLOOKUP(AB14,Parts_Data!$AB$2:$AC$102,2,FALSE))</f>
        <v/>
      </c>
      <c r="AD14" s="62"/>
      <c r="AE14" s="66"/>
      <c r="AF14" s="73"/>
      <c r="AG14" s="113"/>
      <c r="AH14" s="62"/>
      <c r="AI14" s="33" t="str">
        <f>IF(AH14="","",VLOOKUP(AH14,Parts_Data!$AB$2:$AC$102,2,FALSE))</f>
        <v/>
      </c>
      <c r="AJ14" s="62"/>
      <c r="AK14" s="66"/>
      <c r="AL14" s="73"/>
      <c r="AM14" s="113"/>
      <c r="AN14" s="62"/>
      <c r="AO14" s="33" t="str">
        <f>IF(AN14="","",VLOOKUP(AN14,Parts_Data!$AB$2:$AC$102,2,FALSE))</f>
        <v/>
      </c>
      <c r="AP14" s="62"/>
      <c r="AQ14" s="66"/>
      <c r="AR14" s="73"/>
      <c r="AS14" s="113"/>
      <c r="AT14" s="62"/>
      <c r="AU14" s="33" t="str">
        <f>IF(AT14="","",VLOOKUP(AT14,Parts_Data!$AB$2:$AC$102,2,FALSE))</f>
        <v/>
      </c>
      <c r="AV14" s="62"/>
      <c r="AW14" s="66"/>
      <c r="AX14" s="73"/>
      <c r="AY14" s="113"/>
      <c r="AZ14" s="62"/>
      <c r="BA14" s="33" t="str">
        <f>IF(AZ14="","",VLOOKUP(AZ14,Parts_Data!$AB$2:$AC$102,2,FALSE))</f>
        <v/>
      </c>
      <c r="BB14" s="62"/>
      <c r="BC14" s="66"/>
      <c r="BD14" s="73"/>
      <c r="BE14" s="113"/>
      <c r="BF14" s="62"/>
      <c r="BG14" s="33" t="str">
        <f>IF(BF14="","",VLOOKUP(BF14,Parts_Data!$AB$2:$AC$102,2,FALSE))</f>
        <v/>
      </c>
      <c r="BH14" s="62"/>
      <c r="BI14" s="66"/>
      <c r="BJ14" s="73"/>
      <c r="BK14" s="113"/>
      <c r="BL14" s="62"/>
      <c r="BM14" s="33" t="str">
        <f>IF(BL14="","",VLOOKUP(BL14,Parts_Data!$AB$2:$AC$102,2,FALSE))</f>
        <v/>
      </c>
      <c r="BN14" s="62"/>
      <c r="BO14" s="66"/>
      <c r="BP14" s="73"/>
      <c r="BQ14" s="113"/>
      <c r="BR14" s="62"/>
      <c r="BS14" s="33" t="str">
        <f>IF(BR14="","",VLOOKUP(BR14,Parts_Data!$AB$2:$AC$102,2,FALSE))</f>
        <v/>
      </c>
      <c r="BT14" s="62"/>
      <c r="BU14" s="66"/>
      <c r="BV14" s="73"/>
      <c r="BW14" s="113"/>
      <c r="BX14" s="62"/>
      <c r="BY14" s="33" t="str">
        <f>IF(BX14="","",VLOOKUP(BX14,Parts_Data!$AB$2:$AC$102,2,FALSE))</f>
        <v/>
      </c>
      <c r="BZ14" s="62"/>
      <c r="CA14" s="66"/>
      <c r="CB14" s="73"/>
      <c r="CC14" s="113"/>
      <c r="CD14" s="62"/>
      <c r="CE14" s="33" t="str">
        <f>IF(CD14="","",VLOOKUP(CD14,Parts_Data!$AB$2:$AC$102,2,FALSE))</f>
        <v/>
      </c>
      <c r="CF14" s="62"/>
      <c r="CG14" s="66"/>
      <c r="CH14" s="73"/>
      <c r="CI14" s="113"/>
      <c r="CJ14" s="62"/>
      <c r="CK14" s="33" t="str">
        <f>IF(CJ14="","",VLOOKUP(CJ14,Parts_Data!$AB$2:$AC$102,2,FALSE))</f>
        <v/>
      </c>
      <c r="CL14" s="62"/>
      <c r="CM14" s="66"/>
      <c r="CN14" s="73"/>
      <c r="CO14" s="113"/>
      <c r="CP14" s="62"/>
      <c r="CQ14" s="33" t="str">
        <f>IF(CP14="","",VLOOKUP(CP14,Parts_Data!$AB$2:$AC$102,2,FALSE))</f>
        <v/>
      </c>
      <c r="CR14" s="62"/>
      <c r="CS14" s="66"/>
      <c r="CT14" s="73"/>
      <c r="CU14" s="113"/>
      <c r="CV14" s="62"/>
      <c r="CW14" s="33" t="str">
        <f>IF(CV14="","",VLOOKUP(CV14,Parts_Data!$AB$2:$AC$102,2,FALSE))</f>
        <v/>
      </c>
      <c r="CX14" s="62"/>
      <c r="CY14" s="66"/>
      <c r="CZ14" s="73"/>
      <c r="DA14" s="113"/>
      <c r="DB14" s="62"/>
      <c r="DC14" s="33" t="str">
        <f>IF(DB14="","",VLOOKUP(DB14,Parts_Data!$AB$2:$AC$102,2,FALSE))</f>
        <v/>
      </c>
      <c r="DD14" s="62"/>
      <c r="DE14" s="66"/>
      <c r="DF14" s="73"/>
      <c r="DG14" s="113"/>
      <c r="DH14" s="62"/>
      <c r="DI14" s="33" t="str">
        <f>IF(DH14="","",VLOOKUP(DH14,Parts_Data!$AB$2:$AC$102,2,FALSE))</f>
        <v/>
      </c>
      <c r="DJ14" s="62"/>
      <c r="DK14" s="66"/>
      <c r="DL14" s="73"/>
      <c r="DM14" s="113"/>
      <c r="DN14" s="62"/>
      <c r="DO14" s="33" t="str">
        <f>IF(DN14="","",VLOOKUP(DN14,Parts_Data!$AB$2:$AC$102,2,FALSE))</f>
        <v/>
      </c>
      <c r="DP14" s="62"/>
      <c r="DQ14" s="66"/>
      <c r="DR14" s="73"/>
      <c r="DS14" s="113"/>
      <c r="DT14" s="62"/>
      <c r="DU14" s="33" t="str">
        <f>IF(DT14="","",VLOOKUP(DT14,Parts_Data!$AB$2:$AC$102,2,FALSE))</f>
        <v/>
      </c>
      <c r="DV14" s="62"/>
      <c r="DW14" s="66"/>
      <c r="DX14" s="73"/>
      <c r="DY14" s="113"/>
      <c r="DZ14" s="62"/>
      <c r="EA14" s="33" t="str">
        <f>IF(DZ14="","",VLOOKUP(DZ14,Parts_Data!$AB$2:$AC$102,2,FALSE))</f>
        <v/>
      </c>
      <c r="EB14" s="62"/>
      <c r="EC14" s="66"/>
      <c r="ED14" s="73"/>
      <c r="EE14" s="113"/>
      <c r="EF14" s="62"/>
      <c r="EG14" s="33" t="str">
        <f>IF(EF14="","",VLOOKUP(EF14,Parts_Data!$AB$2:$AC$102,2,FALSE))</f>
        <v/>
      </c>
      <c r="EH14" s="62"/>
      <c r="EI14" s="66"/>
      <c r="EJ14" s="73"/>
      <c r="EK14" s="113"/>
      <c r="EL14" s="62"/>
      <c r="EM14" s="33" t="str">
        <f>IF(EL14="","",VLOOKUP(EL14,Parts_Data!$AB$2:$AC$102,2,FALSE))</f>
        <v/>
      </c>
      <c r="EN14" s="62"/>
      <c r="EO14" s="66"/>
      <c r="EP14" s="73"/>
      <c r="EQ14" s="113"/>
      <c r="ER14" s="62"/>
      <c r="ES14" s="33" t="str">
        <f>IF(ER14="","",VLOOKUP(ER14,Parts_Data!$AB$2:$AC$102,2,FALSE))</f>
        <v/>
      </c>
      <c r="ET14" s="62"/>
      <c r="EU14" s="66"/>
      <c r="EV14" s="73"/>
      <c r="EW14" s="113"/>
    </row>
    <row r="15" spans="1:153" ht="15.6" x14ac:dyDescent="0.3">
      <c r="A15" t="str">
        <f t="shared" si="0"/>
        <v>GR700ES1</v>
      </c>
      <c r="B15" s="50">
        <v>2</v>
      </c>
      <c r="C15" s="32" t="str">
        <f t="shared" si="1"/>
        <v>GR700ES1.2</v>
      </c>
      <c r="D15" s="63"/>
      <c r="E15" s="27" t="str">
        <f>IF(D15="","",VLOOKUP(D15,Parts_Data!$AB$2:$AC$102,2,FALSE))</f>
        <v/>
      </c>
      <c r="F15" s="63"/>
      <c r="G15" s="67"/>
      <c r="H15" s="74"/>
      <c r="I15" s="114"/>
      <c r="J15" s="63"/>
      <c r="K15" s="27" t="str">
        <f>IF(J15="","",VLOOKUP(J15,Parts_Data!$AB$2:$AC$102,2,FALSE))</f>
        <v/>
      </c>
      <c r="L15" s="63"/>
      <c r="M15" s="67"/>
      <c r="N15" s="74"/>
      <c r="O15" s="114"/>
      <c r="P15" s="63"/>
      <c r="Q15" s="27" t="str">
        <f>IF(P15="","",VLOOKUP(P15,Parts_Data!$AB$2:$AC$102,2,FALSE))</f>
        <v/>
      </c>
      <c r="R15" s="63"/>
      <c r="S15" s="67"/>
      <c r="T15" s="74"/>
      <c r="U15" s="114"/>
      <c r="V15" s="63"/>
      <c r="W15" s="27" t="str">
        <f>IF(V15="","",VLOOKUP(V15,Parts_Data!$AB$2:$AC$102,2,FALSE))</f>
        <v/>
      </c>
      <c r="X15" s="63"/>
      <c r="Y15" s="67"/>
      <c r="Z15" s="74"/>
      <c r="AA15" s="114"/>
      <c r="AB15" s="63"/>
      <c r="AC15" s="27" t="str">
        <f>IF(AB15="","",VLOOKUP(AB15,Parts_Data!$AB$2:$AC$102,2,FALSE))</f>
        <v/>
      </c>
      <c r="AD15" s="63"/>
      <c r="AE15" s="67"/>
      <c r="AF15" s="74"/>
      <c r="AG15" s="114"/>
      <c r="AH15" s="63"/>
      <c r="AI15" s="27" t="str">
        <f>IF(AH15="","",VLOOKUP(AH15,Parts_Data!$AB$2:$AC$102,2,FALSE))</f>
        <v/>
      </c>
      <c r="AJ15" s="63"/>
      <c r="AK15" s="67"/>
      <c r="AL15" s="74"/>
      <c r="AM15" s="114"/>
      <c r="AN15" s="63"/>
      <c r="AO15" s="27" t="str">
        <f>IF(AN15="","",VLOOKUP(AN15,Parts_Data!$AB$2:$AC$102,2,FALSE))</f>
        <v/>
      </c>
      <c r="AP15" s="63"/>
      <c r="AQ15" s="67"/>
      <c r="AR15" s="74"/>
      <c r="AS15" s="114"/>
      <c r="AT15" s="63"/>
      <c r="AU15" s="27" t="str">
        <f>IF(AT15="","",VLOOKUP(AT15,Parts_Data!$AB$2:$AC$102,2,FALSE))</f>
        <v/>
      </c>
      <c r="AV15" s="63"/>
      <c r="AW15" s="67"/>
      <c r="AX15" s="74"/>
      <c r="AY15" s="114"/>
      <c r="AZ15" s="63"/>
      <c r="BA15" s="27" t="str">
        <f>IF(AZ15="","",VLOOKUP(AZ15,Parts_Data!$AB$2:$AC$102,2,FALSE))</f>
        <v/>
      </c>
      <c r="BB15" s="63"/>
      <c r="BC15" s="67"/>
      <c r="BD15" s="74"/>
      <c r="BE15" s="114"/>
      <c r="BF15" s="63"/>
      <c r="BG15" s="27" t="str">
        <f>IF(BF15="","",VLOOKUP(BF15,Parts_Data!$AB$2:$AC$102,2,FALSE))</f>
        <v/>
      </c>
      <c r="BH15" s="63"/>
      <c r="BI15" s="67"/>
      <c r="BJ15" s="74"/>
      <c r="BK15" s="114"/>
      <c r="BL15" s="63"/>
      <c r="BM15" s="27" t="str">
        <f>IF(BL15="","",VLOOKUP(BL15,Parts_Data!$AB$2:$AC$102,2,FALSE))</f>
        <v/>
      </c>
      <c r="BN15" s="63"/>
      <c r="BO15" s="67"/>
      <c r="BP15" s="74"/>
      <c r="BQ15" s="114"/>
      <c r="BR15" s="63"/>
      <c r="BS15" s="27" t="str">
        <f>IF(BR15="","",VLOOKUP(BR15,Parts_Data!$AB$2:$AC$102,2,FALSE))</f>
        <v/>
      </c>
      <c r="BT15" s="63"/>
      <c r="BU15" s="67"/>
      <c r="BV15" s="74"/>
      <c r="BW15" s="114"/>
      <c r="BX15" s="63"/>
      <c r="BY15" s="27" t="str">
        <f>IF(BX15="","",VLOOKUP(BX15,Parts_Data!$AB$2:$AC$102,2,FALSE))</f>
        <v/>
      </c>
      <c r="BZ15" s="63"/>
      <c r="CA15" s="67"/>
      <c r="CB15" s="74"/>
      <c r="CC15" s="114"/>
      <c r="CD15" s="63"/>
      <c r="CE15" s="27" t="str">
        <f>IF(CD15="","",VLOOKUP(CD15,Parts_Data!$AB$2:$AC$102,2,FALSE))</f>
        <v/>
      </c>
      <c r="CF15" s="63"/>
      <c r="CG15" s="67"/>
      <c r="CH15" s="74"/>
      <c r="CI15" s="114"/>
      <c r="CJ15" s="63"/>
      <c r="CK15" s="27" t="str">
        <f>IF(CJ15="","",VLOOKUP(CJ15,Parts_Data!$AB$2:$AC$102,2,FALSE))</f>
        <v/>
      </c>
      <c r="CL15" s="63"/>
      <c r="CM15" s="67"/>
      <c r="CN15" s="74"/>
      <c r="CO15" s="114"/>
      <c r="CP15" s="63"/>
      <c r="CQ15" s="27" t="str">
        <f>IF(CP15="","",VLOOKUP(CP15,Parts_Data!$AB$2:$AC$102,2,FALSE))</f>
        <v/>
      </c>
      <c r="CR15" s="63"/>
      <c r="CS15" s="67"/>
      <c r="CT15" s="74"/>
      <c r="CU15" s="114"/>
      <c r="CV15" s="63"/>
      <c r="CW15" s="27" t="str">
        <f>IF(CV15="","",VLOOKUP(CV15,Parts_Data!$AB$2:$AC$102,2,FALSE))</f>
        <v/>
      </c>
      <c r="CX15" s="63"/>
      <c r="CY15" s="67"/>
      <c r="CZ15" s="74"/>
      <c r="DA15" s="114"/>
      <c r="DB15" s="63"/>
      <c r="DC15" s="27" t="str">
        <f>IF(DB15="","",VLOOKUP(DB15,Parts_Data!$AB$2:$AC$102,2,FALSE))</f>
        <v/>
      </c>
      <c r="DD15" s="63"/>
      <c r="DE15" s="67"/>
      <c r="DF15" s="74"/>
      <c r="DG15" s="114"/>
      <c r="DH15" s="63"/>
      <c r="DI15" s="27" t="str">
        <f>IF(DH15="","",VLOOKUP(DH15,Parts_Data!$AB$2:$AC$102,2,FALSE))</f>
        <v/>
      </c>
      <c r="DJ15" s="63"/>
      <c r="DK15" s="67"/>
      <c r="DL15" s="74"/>
      <c r="DM15" s="114"/>
      <c r="DN15" s="63"/>
      <c r="DO15" s="27" t="str">
        <f>IF(DN15="","",VLOOKUP(DN15,Parts_Data!$AB$2:$AC$102,2,FALSE))</f>
        <v/>
      </c>
      <c r="DP15" s="63"/>
      <c r="DQ15" s="67"/>
      <c r="DR15" s="74"/>
      <c r="DS15" s="114"/>
      <c r="DT15" s="63"/>
      <c r="DU15" s="27" t="str">
        <f>IF(DT15="","",VLOOKUP(DT15,Parts_Data!$AB$2:$AC$102,2,FALSE))</f>
        <v/>
      </c>
      <c r="DV15" s="63"/>
      <c r="DW15" s="67"/>
      <c r="DX15" s="74"/>
      <c r="DY15" s="114"/>
      <c r="DZ15" s="63"/>
      <c r="EA15" s="27" t="str">
        <f>IF(DZ15="","",VLOOKUP(DZ15,Parts_Data!$AB$2:$AC$102,2,FALSE))</f>
        <v/>
      </c>
      <c r="EB15" s="63"/>
      <c r="EC15" s="67"/>
      <c r="ED15" s="74"/>
      <c r="EE15" s="114"/>
      <c r="EF15" s="63"/>
      <c r="EG15" s="27" t="str">
        <f>IF(EF15="","",VLOOKUP(EF15,Parts_Data!$AB$2:$AC$102,2,FALSE))</f>
        <v/>
      </c>
      <c r="EH15" s="63"/>
      <c r="EI15" s="67"/>
      <c r="EJ15" s="74"/>
      <c r="EK15" s="114"/>
      <c r="EL15" s="63"/>
      <c r="EM15" s="27" t="str">
        <f>IF(EL15="","",VLOOKUP(EL15,Parts_Data!$AB$2:$AC$102,2,FALSE))</f>
        <v/>
      </c>
      <c r="EN15" s="63"/>
      <c r="EO15" s="67"/>
      <c r="EP15" s="74"/>
      <c r="EQ15" s="114"/>
      <c r="ER15" s="63"/>
      <c r="ES15" s="27" t="str">
        <f>IF(ER15="","",VLOOKUP(ER15,Parts_Data!$AB$2:$AC$102,2,FALSE))</f>
        <v/>
      </c>
      <c r="ET15" s="63"/>
      <c r="EU15" s="67"/>
      <c r="EV15" s="74"/>
      <c r="EW15" s="114"/>
    </row>
    <row r="16" spans="1:153" ht="15.6" x14ac:dyDescent="0.3">
      <c r="A16" t="str">
        <f t="shared" si="0"/>
        <v>GR700ES1</v>
      </c>
      <c r="B16" s="50">
        <v>3</v>
      </c>
      <c r="C16" s="32" t="str">
        <f t="shared" si="1"/>
        <v>GR700ES1.3</v>
      </c>
      <c r="D16" s="64"/>
      <c r="E16" s="26" t="str">
        <f>IF(D16="","",VLOOKUP(D16,Parts_Data!$AB$2:$AC$102,2,FALSE))</f>
        <v/>
      </c>
      <c r="F16" s="64"/>
      <c r="G16" s="68"/>
      <c r="H16" s="75"/>
      <c r="I16" s="115"/>
      <c r="J16" s="64"/>
      <c r="K16" s="26" t="str">
        <f>IF(J16="","",VLOOKUP(J16,Parts_Data!$AB$2:$AC$102,2,FALSE))</f>
        <v/>
      </c>
      <c r="L16" s="64"/>
      <c r="M16" s="68"/>
      <c r="N16" s="75"/>
      <c r="O16" s="115"/>
      <c r="P16" s="64"/>
      <c r="Q16" s="26" t="str">
        <f>IF(P16="","",VLOOKUP(P16,Parts_Data!$AB$2:$AC$102,2,FALSE))</f>
        <v/>
      </c>
      <c r="R16" s="64"/>
      <c r="S16" s="68"/>
      <c r="T16" s="75"/>
      <c r="U16" s="115"/>
      <c r="V16" s="64"/>
      <c r="W16" s="26" t="str">
        <f>IF(V16="","",VLOOKUP(V16,Parts_Data!$AB$2:$AC$102,2,FALSE))</f>
        <v/>
      </c>
      <c r="X16" s="64"/>
      <c r="Y16" s="68"/>
      <c r="Z16" s="75"/>
      <c r="AA16" s="115"/>
      <c r="AB16" s="64"/>
      <c r="AC16" s="26" t="str">
        <f>IF(AB16="","",VLOOKUP(AB16,Parts_Data!$AB$2:$AC$102,2,FALSE))</f>
        <v/>
      </c>
      <c r="AD16" s="64"/>
      <c r="AE16" s="68"/>
      <c r="AF16" s="75"/>
      <c r="AG16" s="115"/>
      <c r="AH16" s="64"/>
      <c r="AI16" s="26" t="str">
        <f>IF(AH16="","",VLOOKUP(AH16,Parts_Data!$AB$2:$AC$102,2,FALSE))</f>
        <v/>
      </c>
      <c r="AJ16" s="64"/>
      <c r="AK16" s="68"/>
      <c r="AL16" s="75"/>
      <c r="AM16" s="115"/>
      <c r="AN16" s="64"/>
      <c r="AO16" s="26" t="str">
        <f>IF(AN16="","",VLOOKUP(AN16,Parts_Data!$AB$2:$AC$102,2,FALSE))</f>
        <v/>
      </c>
      <c r="AP16" s="64"/>
      <c r="AQ16" s="68"/>
      <c r="AR16" s="75"/>
      <c r="AS16" s="115"/>
      <c r="AT16" s="64"/>
      <c r="AU16" s="26" t="str">
        <f>IF(AT16="","",VLOOKUP(AT16,Parts_Data!$AB$2:$AC$102,2,FALSE))</f>
        <v/>
      </c>
      <c r="AV16" s="64"/>
      <c r="AW16" s="68"/>
      <c r="AX16" s="75"/>
      <c r="AY16" s="115"/>
      <c r="AZ16" s="64"/>
      <c r="BA16" s="26" t="str">
        <f>IF(AZ16="","",VLOOKUP(AZ16,Parts_Data!$AB$2:$AC$102,2,FALSE))</f>
        <v/>
      </c>
      <c r="BB16" s="64"/>
      <c r="BC16" s="68"/>
      <c r="BD16" s="75"/>
      <c r="BE16" s="115"/>
      <c r="BF16" s="64"/>
      <c r="BG16" s="26" t="str">
        <f>IF(BF16="","",VLOOKUP(BF16,Parts_Data!$AB$2:$AC$102,2,FALSE))</f>
        <v/>
      </c>
      <c r="BH16" s="64"/>
      <c r="BI16" s="68"/>
      <c r="BJ16" s="75"/>
      <c r="BK16" s="115"/>
      <c r="BL16" s="64"/>
      <c r="BM16" s="26" t="str">
        <f>IF(BL16="","",VLOOKUP(BL16,Parts_Data!$AB$2:$AC$102,2,FALSE))</f>
        <v/>
      </c>
      <c r="BN16" s="64"/>
      <c r="BO16" s="68"/>
      <c r="BP16" s="75"/>
      <c r="BQ16" s="115"/>
      <c r="BR16" s="64"/>
      <c r="BS16" s="26" t="str">
        <f>IF(BR16="","",VLOOKUP(BR16,Parts_Data!$AB$2:$AC$102,2,FALSE))</f>
        <v/>
      </c>
      <c r="BT16" s="64"/>
      <c r="BU16" s="68"/>
      <c r="BV16" s="75"/>
      <c r="BW16" s="115"/>
      <c r="BX16" s="64"/>
      <c r="BY16" s="26" t="str">
        <f>IF(BX16="","",VLOOKUP(BX16,Parts_Data!$AB$2:$AC$102,2,FALSE))</f>
        <v/>
      </c>
      <c r="BZ16" s="64"/>
      <c r="CA16" s="68"/>
      <c r="CB16" s="75"/>
      <c r="CC16" s="115"/>
      <c r="CD16" s="64"/>
      <c r="CE16" s="26" t="str">
        <f>IF(CD16="","",VLOOKUP(CD16,Parts_Data!$AB$2:$AC$102,2,FALSE))</f>
        <v/>
      </c>
      <c r="CF16" s="64"/>
      <c r="CG16" s="68"/>
      <c r="CH16" s="75"/>
      <c r="CI16" s="115"/>
      <c r="CJ16" s="64"/>
      <c r="CK16" s="26" t="str">
        <f>IF(CJ16="","",VLOOKUP(CJ16,Parts_Data!$AB$2:$AC$102,2,FALSE))</f>
        <v/>
      </c>
      <c r="CL16" s="64"/>
      <c r="CM16" s="68"/>
      <c r="CN16" s="75"/>
      <c r="CO16" s="115"/>
      <c r="CP16" s="64"/>
      <c r="CQ16" s="26" t="str">
        <f>IF(CP16="","",VLOOKUP(CP16,Parts_Data!$AB$2:$AC$102,2,FALSE))</f>
        <v/>
      </c>
      <c r="CR16" s="64"/>
      <c r="CS16" s="68"/>
      <c r="CT16" s="75"/>
      <c r="CU16" s="115"/>
      <c r="CV16" s="64"/>
      <c r="CW16" s="26" t="str">
        <f>IF(CV16="","",VLOOKUP(CV16,Parts_Data!$AB$2:$AC$102,2,FALSE))</f>
        <v/>
      </c>
      <c r="CX16" s="64"/>
      <c r="CY16" s="68"/>
      <c r="CZ16" s="75"/>
      <c r="DA16" s="115"/>
      <c r="DB16" s="64"/>
      <c r="DC16" s="26" t="str">
        <f>IF(DB16="","",VLOOKUP(DB16,Parts_Data!$AB$2:$AC$102,2,FALSE))</f>
        <v/>
      </c>
      <c r="DD16" s="64"/>
      <c r="DE16" s="68"/>
      <c r="DF16" s="75"/>
      <c r="DG16" s="115"/>
      <c r="DH16" s="64"/>
      <c r="DI16" s="26" t="str">
        <f>IF(DH16="","",VLOOKUP(DH16,Parts_Data!$AB$2:$AC$102,2,FALSE))</f>
        <v/>
      </c>
      <c r="DJ16" s="64"/>
      <c r="DK16" s="68"/>
      <c r="DL16" s="75"/>
      <c r="DM16" s="115"/>
      <c r="DN16" s="64"/>
      <c r="DO16" s="26" t="str">
        <f>IF(DN16="","",VLOOKUP(DN16,Parts_Data!$AB$2:$AC$102,2,FALSE))</f>
        <v/>
      </c>
      <c r="DP16" s="64"/>
      <c r="DQ16" s="68"/>
      <c r="DR16" s="75"/>
      <c r="DS16" s="115"/>
      <c r="DT16" s="64"/>
      <c r="DU16" s="26" t="str">
        <f>IF(DT16="","",VLOOKUP(DT16,Parts_Data!$AB$2:$AC$102,2,FALSE))</f>
        <v/>
      </c>
      <c r="DV16" s="64"/>
      <c r="DW16" s="68"/>
      <c r="DX16" s="75"/>
      <c r="DY16" s="115"/>
      <c r="DZ16" s="64"/>
      <c r="EA16" s="26" t="str">
        <f>IF(DZ16="","",VLOOKUP(DZ16,Parts_Data!$AB$2:$AC$102,2,FALSE))</f>
        <v/>
      </c>
      <c r="EB16" s="64"/>
      <c r="EC16" s="68"/>
      <c r="ED16" s="75"/>
      <c r="EE16" s="115"/>
      <c r="EF16" s="64"/>
      <c r="EG16" s="26" t="str">
        <f>IF(EF16="","",VLOOKUP(EF16,Parts_Data!$AB$2:$AC$102,2,FALSE))</f>
        <v/>
      </c>
      <c r="EH16" s="64"/>
      <c r="EI16" s="68"/>
      <c r="EJ16" s="75"/>
      <c r="EK16" s="115"/>
      <c r="EL16" s="64"/>
      <c r="EM16" s="26" t="str">
        <f>IF(EL16="","",VLOOKUP(EL16,Parts_Data!$AB$2:$AC$102,2,FALSE))</f>
        <v/>
      </c>
      <c r="EN16" s="64"/>
      <c r="EO16" s="68"/>
      <c r="EP16" s="75"/>
      <c r="EQ16" s="115"/>
      <c r="ER16" s="64"/>
      <c r="ES16" s="26" t="str">
        <f>IF(ER16="","",VLOOKUP(ER16,Parts_Data!$AB$2:$AC$102,2,FALSE))</f>
        <v/>
      </c>
      <c r="ET16" s="64"/>
      <c r="EU16" s="68"/>
      <c r="EV16" s="75"/>
      <c r="EW16" s="115"/>
    </row>
    <row r="17" spans="1:153" ht="15.6" x14ac:dyDescent="0.3">
      <c r="A17" t="str">
        <f t="shared" si="0"/>
        <v>GR700ES1</v>
      </c>
      <c r="B17" s="50">
        <v>4</v>
      </c>
      <c r="C17" s="32" t="str">
        <f t="shared" si="1"/>
        <v>GR700ES1.4</v>
      </c>
      <c r="D17" s="63"/>
      <c r="E17" s="27" t="str">
        <f>IF(D17="","",VLOOKUP(D17,Parts_Data!$AB$2:$AC$102,2,FALSE))</f>
        <v/>
      </c>
      <c r="F17" s="63"/>
      <c r="G17" s="67"/>
      <c r="H17" s="74"/>
      <c r="I17" s="114"/>
      <c r="J17" s="63"/>
      <c r="K17" s="27" t="str">
        <f>IF(J17="","",VLOOKUP(J17,Parts_Data!$AB$2:$AC$102,2,FALSE))</f>
        <v/>
      </c>
      <c r="L17" s="63"/>
      <c r="M17" s="67"/>
      <c r="N17" s="74"/>
      <c r="O17" s="114"/>
      <c r="P17" s="63"/>
      <c r="Q17" s="27" t="str">
        <f>IF(P17="","",VLOOKUP(P17,Parts_Data!$AB$2:$AC$102,2,FALSE))</f>
        <v/>
      </c>
      <c r="R17" s="63"/>
      <c r="S17" s="67"/>
      <c r="T17" s="74"/>
      <c r="U17" s="114"/>
      <c r="V17" s="63"/>
      <c r="W17" s="27" t="str">
        <f>IF(V17="","",VLOOKUP(V17,Parts_Data!$AB$2:$AC$102,2,FALSE))</f>
        <v/>
      </c>
      <c r="X17" s="63"/>
      <c r="Y17" s="67"/>
      <c r="Z17" s="74"/>
      <c r="AA17" s="114"/>
      <c r="AB17" s="63"/>
      <c r="AC17" s="27" t="str">
        <f>IF(AB17="","",VLOOKUP(AB17,Parts_Data!$AB$2:$AC$102,2,FALSE))</f>
        <v/>
      </c>
      <c r="AD17" s="63"/>
      <c r="AE17" s="67"/>
      <c r="AF17" s="74"/>
      <c r="AG17" s="114"/>
      <c r="AH17" s="63"/>
      <c r="AI17" s="27" t="str">
        <f>IF(AH17="","",VLOOKUP(AH17,Parts_Data!$AB$2:$AC$102,2,FALSE))</f>
        <v/>
      </c>
      <c r="AJ17" s="63"/>
      <c r="AK17" s="67"/>
      <c r="AL17" s="74"/>
      <c r="AM17" s="114"/>
      <c r="AN17" s="63"/>
      <c r="AO17" s="27" t="str">
        <f>IF(AN17="","",VLOOKUP(AN17,Parts_Data!$AB$2:$AC$102,2,FALSE))</f>
        <v/>
      </c>
      <c r="AP17" s="63"/>
      <c r="AQ17" s="67"/>
      <c r="AR17" s="74"/>
      <c r="AS17" s="114"/>
      <c r="AT17" s="63"/>
      <c r="AU17" s="27" t="str">
        <f>IF(AT17="","",VLOOKUP(AT17,Parts_Data!$AB$2:$AC$102,2,FALSE))</f>
        <v/>
      </c>
      <c r="AV17" s="63"/>
      <c r="AW17" s="67"/>
      <c r="AX17" s="74"/>
      <c r="AY17" s="114"/>
      <c r="AZ17" s="63"/>
      <c r="BA17" s="27" t="str">
        <f>IF(AZ17="","",VLOOKUP(AZ17,Parts_Data!$AB$2:$AC$102,2,FALSE))</f>
        <v/>
      </c>
      <c r="BB17" s="63"/>
      <c r="BC17" s="67"/>
      <c r="BD17" s="74"/>
      <c r="BE17" s="114"/>
      <c r="BF17" s="63"/>
      <c r="BG17" s="27" t="str">
        <f>IF(BF17="","",VLOOKUP(BF17,Parts_Data!$AB$2:$AC$102,2,FALSE))</f>
        <v/>
      </c>
      <c r="BH17" s="63"/>
      <c r="BI17" s="67"/>
      <c r="BJ17" s="74"/>
      <c r="BK17" s="114"/>
      <c r="BL17" s="63"/>
      <c r="BM17" s="27" t="str">
        <f>IF(BL17="","",VLOOKUP(BL17,Parts_Data!$AB$2:$AC$102,2,FALSE))</f>
        <v/>
      </c>
      <c r="BN17" s="63"/>
      <c r="BO17" s="67"/>
      <c r="BP17" s="74"/>
      <c r="BQ17" s="114"/>
      <c r="BR17" s="63"/>
      <c r="BS17" s="27" t="str">
        <f>IF(BR17="","",VLOOKUP(BR17,Parts_Data!$AB$2:$AC$102,2,FALSE))</f>
        <v/>
      </c>
      <c r="BT17" s="63"/>
      <c r="BU17" s="67"/>
      <c r="BV17" s="74"/>
      <c r="BW17" s="114"/>
      <c r="BX17" s="63"/>
      <c r="BY17" s="27" t="str">
        <f>IF(BX17="","",VLOOKUP(BX17,Parts_Data!$AB$2:$AC$102,2,FALSE))</f>
        <v/>
      </c>
      <c r="BZ17" s="63"/>
      <c r="CA17" s="67"/>
      <c r="CB17" s="74"/>
      <c r="CC17" s="114"/>
      <c r="CD17" s="63"/>
      <c r="CE17" s="27" t="str">
        <f>IF(CD17="","",VLOOKUP(CD17,Parts_Data!$AB$2:$AC$102,2,FALSE))</f>
        <v/>
      </c>
      <c r="CF17" s="63"/>
      <c r="CG17" s="67"/>
      <c r="CH17" s="74"/>
      <c r="CI17" s="114"/>
      <c r="CJ17" s="63"/>
      <c r="CK17" s="27" t="str">
        <f>IF(CJ17="","",VLOOKUP(CJ17,Parts_Data!$AB$2:$AC$102,2,FALSE))</f>
        <v/>
      </c>
      <c r="CL17" s="63"/>
      <c r="CM17" s="67"/>
      <c r="CN17" s="74"/>
      <c r="CO17" s="114"/>
      <c r="CP17" s="63"/>
      <c r="CQ17" s="27" t="str">
        <f>IF(CP17="","",VLOOKUP(CP17,Parts_Data!$AB$2:$AC$102,2,FALSE))</f>
        <v/>
      </c>
      <c r="CR17" s="63"/>
      <c r="CS17" s="67"/>
      <c r="CT17" s="74"/>
      <c r="CU17" s="114"/>
      <c r="CV17" s="63"/>
      <c r="CW17" s="27" t="str">
        <f>IF(CV17="","",VLOOKUP(CV17,Parts_Data!$AB$2:$AC$102,2,FALSE))</f>
        <v/>
      </c>
      <c r="CX17" s="63"/>
      <c r="CY17" s="67"/>
      <c r="CZ17" s="74"/>
      <c r="DA17" s="114"/>
      <c r="DB17" s="63"/>
      <c r="DC17" s="27" t="str">
        <f>IF(DB17="","",VLOOKUP(DB17,Parts_Data!$AB$2:$AC$102,2,FALSE))</f>
        <v/>
      </c>
      <c r="DD17" s="63"/>
      <c r="DE17" s="67"/>
      <c r="DF17" s="74"/>
      <c r="DG17" s="114"/>
      <c r="DH17" s="63"/>
      <c r="DI17" s="27" t="str">
        <f>IF(DH17="","",VLOOKUP(DH17,Parts_Data!$AB$2:$AC$102,2,FALSE))</f>
        <v/>
      </c>
      <c r="DJ17" s="63"/>
      <c r="DK17" s="67"/>
      <c r="DL17" s="74"/>
      <c r="DM17" s="114"/>
      <c r="DN17" s="63"/>
      <c r="DO17" s="27" t="str">
        <f>IF(DN17="","",VLOOKUP(DN17,Parts_Data!$AB$2:$AC$102,2,FALSE))</f>
        <v/>
      </c>
      <c r="DP17" s="63"/>
      <c r="DQ17" s="67"/>
      <c r="DR17" s="74"/>
      <c r="DS17" s="114"/>
      <c r="DT17" s="63"/>
      <c r="DU17" s="27" t="str">
        <f>IF(DT17="","",VLOOKUP(DT17,Parts_Data!$AB$2:$AC$102,2,FALSE))</f>
        <v/>
      </c>
      <c r="DV17" s="63"/>
      <c r="DW17" s="67"/>
      <c r="DX17" s="74"/>
      <c r="DY17" s="114"/>
      <c r="DZ17" s="63"/>
      <c r="EA17" s="27" t="str">
        <f>IF(DZ17="","",VLOOKUP(DZ17,Parts_Data!$AB$2:$AC$102,2,FALSE))</f>
        <v/>
      </c>
      <c r="EB17" s="63"/>
      <c r="EC17" s="67"/>
      <c r="ED17" s="74"/>
      <c r="EE17" s="114"/>
      <c r="EF17" s="63"/>
      <c r="EG17" s="27" t="str">
        <f>IF(EF17="","",VLOOKUP(EF17,Parts_Data!$AB$2:$AC$102,2,FALSE))</f>
        <v/>
      </c>
      <c r="EH17" s="63"/>
      <c r="EI17" s="67"/>
      <c r="EJ17" s="74"/>
      <c r="EK17" s="114"/>
      <c r="EL17" s="63"/>
      <c r="EM17" s="27" t="str">
        <f>IF(EL17="","",VLOOKUP(EL17,Parts_Data!$AB$2:$AC$102,2,FALSE))</f>
        <v/>
      </c>
      <c r="EN17" s="63"/>
      <c r="EO17" s="67"/>
      <c r="EP17" s="74"/>
      <c r="EQ17" s="114"/>
      <c r="ER17" s="63"/>
      <c r="ES17" s="27" t="str">
        <f>IF(ER17="","",VLOOKUP(ER17,Parts_Data!$AB$2:$AC$102,2,FALSE))</f>
        <v/>
      </c>
      <c r="ET17" s="63"/>
      <c r="EU17" s="67"/>
      <c r="EV17" s="74"/>
      <c r="EW17" s="114"/>
    </row>
    <row r="18" spans="1:153" ht="15.6" x14ac:dyDescent="0.3">
      <c r="A18" t="str">
        <f t="shared" si="0"/>
        <v>GR700ES1</v>
      </c>
      <c r="B18" s="50">
        <v>5</v>
      </c>
      <c r="C18" s="32" t="str">
        <f t="shared" si="1"/>
        <v>GR700ES1.5</v>
      </c>
      <c r="D18" s="64"/>
      <c r="E18" s="26" t="str">
        <f>IF(D18="","",VLOOKUP(D18,Parts_Data!$AB$2:$AC$102,2,FALSE))</f>
        <v/>
      </c>
      <c r="F18" s="64"/>
      <c r="G18" s="68"/>
      <c r="H18" s="75"/>
      <c r="I18" s="115"/>
      <c r="J18" s="64"/>
      <c r="K18" s="26" t="str">
        <f>IF(J18="","",VLOOKUP(J18,Parts_Data!$AB$2:$AC$102,2,FALSE))</f>
        <v/>
      </c>
      <c r="L18" s="64"/>
      <c r="M18" s="68"/>
      <c r="N18" s="75"/>
      <c r="O18" s="115"/>
      <c r="P18" s="64"/>
      <c r="Q18" s="26" t="str">
        <f>IF(P18="","",VLOOKUP(P18,Parts_Data!$AB$2:$AC$102,2,FALSE))</f>
        <v/>
      </c>
      <c r="R18" s="64"/>
      <c r="S18" s="68"/>
      <c r="T18" s="75"/>
      <c r="U18" s="115"/>
      <c r="V18" s="64"/>
      <c r="W18" s="26" t="str">
        <f>IF(V18="","",VLOOKUP(V18,Parts_Data!$AB$2:$AC$102,2,FALSE))</f>
        <v/>
      </c>
      <c r="X18" s="64"/>
      <c r="Y18" s="68"/>
      <c r="Z18" s="75"/>
      <c r="AA18" s="115"/>
      <c r="AB18" s="64"/>
      <c r="AC18" s="26" t="str">
        <f>IF(AB18="","",VLOOKUP(AB18,Parts_Data!$AB$2:$AC$102,2,FALSE))</f>
        <v/>
      </c>
      <c r="AD18" s="64"/>
      <c r="AE18" s="68"/>
      <c r="AF18" s="75"/>
      <c r="AG18" s="115"/>
      <c r="AH18" s="64"/>
      <c r="AI18" s="26" t="str">
        <f>IF(AH18="","",VLOOKUP(AH18,Parts_Data!$AB$2:$AC$102,2,FALSE))</f>
        <v/>
      </c>
      <c r="AJ18" s="64"/>
      <c r="AK18" s="68"/>
      <c r="AL18" s="75"/>
      <c r="AM18" s="115"/>
      <c r="AN18" s="64"/>
      <c r="AO18" s="26" t="str">
        <f>IF(AN18="","",VLOOKUP(AN18,Parts_Data!$AB$2:$AC$102,2,FALSE))</f>
        <v/>
      </c>
      <c r="AP18" s="64"/>
      <c r="AQ18" s="68"/>
      <c r="AR18" s="75"/>
      <c r="AS18" s="115"/>
      <c r="AT18" s="64"/>
      <c r="AU18" s="26" t="str">
        <f>IF(AT18="","",VLOOKUP(AT18,Parts_Data!$AB$2:$AC$102,2,FALSE))</f>
        <v/>
      </c>
      <c r="AV18" s="64"/>
      <c r="AW18" s="68"/>
      <c r="AX18" s="75"/>
      <c r="AY18" s="115"/>
      <c r="AZ18" s="64"/>
      <c r="BA18" s="26" t="str">
        <f>IF(AZ18="","",VLOOKUP(AZ18,Parts_Data!$AB$2:$AC$102,2,FALSE))</f>
        <v/>
      </c>
      <c r="BB18" s="64"/>
      <c r="BC18" s="68"/>
      <c r="BD18" s="75"/>
      <c r="BE18" s="115"/>
      <c r="BF18" s="64"/>
      <c r="BG18" s="26" t="str">
        <f>IF(BF18="","",VLOOKUP(BF18,Parts_Data!$AB$2:$AC$102,2,FALSE))</f>
        <v/>
      </c>
      <c r="BH18" s="64"/>
      <c r="BI18" s="68"/>
      <c r="BJ18" s="75"/>
      <c r="BK18" s="115"/>
      <c r="BL18" s="64"/>
      <c r="BM18" s="26" t="str">
        <f>IF(BL18="","",VLOOKUP(BL18,Parts_Data!$AB$2:$AC$102,2,FALSE))</f>
        <v/>
      </c>
      <c r="BN18" s="64"/>
      <c r="BO18" s="68"/>
      <c r="BP18" s="75"/>
      <c r="BQ18" s="115"/>
      <c r="BR18" s="64"/>
      <c r="BS18" s="26" t="str">
        <f>IF(BR18="","",VLOOKUP(BR18,Parts_Data!$AB$2:$AC$102,2,FALSE))</f>
        <v/>
      </c>
      <c r="BT18" s="64"/>
      <c r="BU18" s="68"/>
      <c r="BV18" s="75"/>
      <c r="BW18" s="115"/>
      <c r="BX18" s="64"/>
      <c r="BY18" s="26" t="str">
        <f>IF(BX18="","",VLOOKUP(BX18,Parts_Data!$AB$2:$AC$102,2,FALSE))</f>
        <v/>
      </c>
      <c r="BZ18" s="64"/>
      <c r="CA18" s="68"/>
      <c r="CB18" s="75"/>
      <c r="CC18" s="115"/>
      <c r="CD18" s="64"/>
      <c r="CE18" s="26" t="str">
        <f>IF(CD18="","",VLOOKUP(CD18,Parts_Data!$AB$2:$AC$102,2,FALSE))</f>
        <v/>
      </c>
      <c r="CF18" s="64"/>
      <c r="CG18" s="68"/>
      <c r="CH18" s="75"/>
      <c r="CI18" s="115"/>
      <c r="CJ18" s="64"/>
      <c r="CK18" s="26" t="str">
        <f>IF(CJ18="","",VLOOKUP(CJ18,Parts_Data!$AB$2:$AC$102,2,FALSE))</f>
        <v/>
      </c>
      <c r="CL18" s="64"/>
      <c r="CM18" s="68"/>
      <c r="CN18" s="75"/>
      <c r="CO18" s="115"/>
      <c r="CP18" s="64"/>
      <c r="CQ18" s="26" t="str">
        <f>IF(CP18="","",VLOOKUP(CP18,Parts_Data!$AB$2:$AC$102,2,FALSE))</f>
        <v/>
      </c>
      <c r="CR18" s="64"/>
      <c r="CS18" s="68"/>
      <c r="CT18" s="75"/>
      <c r="CU18" s="115"/>
      <c r="CV18" s="64"/>
      <c r="CW18" s="26" t="str">
        <f>IF(CV18="","",VLOOKUP(CV18,Parts_Data!$AB$2:$AC$102,2,FALSE))</f>
        <v/>
      </c>
      <c r="CX18" s="64"/>
      <c r="CY18" s="68"/>
      <c r="CZ18" s="75"/>
      <c r="DA18" s="115"/>
      <c r="DB18" s="64"/>
      <c r="DC18" s="26" t="str">
        <f>IF(DB18="","",VLOOKUP(DB18,Parts_Data!$AB$2:$AC$102,2,FALSE))</f>
        <v/>
      </c>
      <c r="DD18" s="64"/>
      <c r="DE18" s="68"/>
      <c r="DF18" s="75"/>
      <c r="DG18" s="115"/>
      <c r="DH18" s="64"/>
      <c r="DI18" s="26" t="str">
        <f>IF(DH18="","",VLOOKUP(DH18,Parts_Data!$AB$2:$AC$102,2,FALSE))</f>
        <v/>
      </c>
      <c r="DJ18" s="64"/>
      <c r="DK18" s="68"/>
      <c r="DL18" s="75"/>
      <c r="DM18" s="115"/>
      <c r="DN18" s="64"/>
      <c r="DO18" s="26" t="str">
        <f>IF(DN18="","",VLOOKUP(DN18,Parts_Data!$AB$2:$AC$102,2,FALSE))</f>
        <v/>
      </c>
      <c r="DP18" s="64"/>
      <c r="DQ18" s="68"/>
      <c r="DR18" s="75"/>
      <c r="DS18" s="115"/>
      <c r="DT18" s="64"/>
      <c r="DU18" s="26" t="str">
        <f>IF(DT18="","",VLOOKUP(DT18,Parts_Data!$AB$2:$AC$102,2,FALSE))</f>
        <v/>
      </c>
      <c r="DV18" s="64"/>
      <c r="DW18" s="68"/>
      <c r="DX18" s="75"/>
      <c r="DY18" s="115"/>
      <c r="DZ18" s="64"/>
      <c r="EA18" s="26" t="str">
        <f>IF(DZ18="","",VLOOKUP(DZ18,Parts_Data!$AB$2:$AC$102,2,FALSE))</f>
        <v/>
      </c>
      <c r="EB18" s="64"/>
      <c r="EC18" s="68"/>
      <c r="ED18" s="75"/>
      <c r="EE18" s="115"/>
      <c r="EF18" s="64"/>
      <c r="EG18" s="26" t="str">
        <f>IF(EF18="","",VLOOKUP(EF18,Parts_Data!$AB$2:$AC$102,2,FALSE))</f>
        <v/>
      </c>
      <c r="EH18" s="64"/>
      <c r="EI18" s="68"/>
      <c r="EJ18" s="75"/>
      <c r="EK18" s="115"/>
      <c r="EL18" s="64"/>
      <c r="EM18" s="26" t="str">
        <f>IF(EL18="","",VLOOKUP(EL18,Parts_Data!$AB$2:$AC$102,2,FALSE))</f>
        <v/>
      </c>
      <c r="EN18" s="64"/>
      <c r="EO18" s="68"/>
      <c r="EP18" s="75"/>
      <c r="EQ18" s="115"/>
      <c r="ER18" s="64"/>
      <c r="ES18" s="26" t="str">
        <f>IF(ER18="","",VLOOKUP(ER18,Parts_Data!$AB$2:$AC$102,2,FALSE))</f>
        <v/>
      </c>
      <c r="ET18" s="64"/>
      <c r="EU18" s="68"/>
      <c r="EV18" s="75"/>
      <c r="EW18" s="115"/>
    </row>
    <row r="19" spans="1:153" ht="15.6" x14ac:dyDescent="0.3">
      <c r="A19" t="str">
        <f t="shared" si="0"/>
        <v>GR700ES1</v>
      </c>
      <c r="B19" s="50">
        <v>6</v>
      </c>
      <c r="C19" s="32" t="str">
        <f t="shared" si="1"/>
        <v>GR700ES1.6</v>
      </c>
      <c r="D19" s="63"/>
      <c r="E19" s="27" t="str">
        <f>IF(D19="","",VLOOKUP(D19,Parts_Data!$AB$2:$AC$102,2,FALSE))</f>
        <v/>
      </c>
      <c r="F19" s="63"/>
      <c r="G19" s="67"/>
      <c r="H19" s="74"/>
      <c r="I19" s="114"/>
      <c r="J19" s="63"/>
      <c r="K19" s="27" t="str">
        <f>IF(J19="","",VLOOKUP(J19,Parts_Data!$AB$2:$AC$102,2,FALSE))</f>
        <v/>
      </c>
      <c r="L19" s="63"/>
      <c r="M19" s="67"/>
      <c r="N19" s="74"/>
      <c r="O19" s="114"/>
      <c r="P19" s="63"/>
      <c r="Q19" s="27" t="str">
        <f>IF(P19="","",VLOOKUP(P19,Parts_Data!$AB$2:$AC$102,2,FALSE))</f>
        <v/>
      </c>
      <c r="R19" s="63"/>
      <c r="S19" s="67"/>
      <c r="T19" s="74"/>
      <c r="U19" s="114"/>
      <c r="V19" s="63"/>
      <c r="W19" s="27" t="str">
        <f>IF(V19="","",VLOOKUP(V19,Parts_Data!$AB$2:$AC$102,2,FALSE))</f>
        <v/>
      </c>
      <c r="X19" s="63"/>
      <c r="Y19" s="67"/>
      <c r="Z19" s="74"/>
      <c r="AA19" s="114"/>
      <c r="AB19" s="63"/>
      <c r="AC19" s="27" t="str">
        <f>IF(AB19="","",VLOOKUP(AB19,Parts_Data!$AB$2:$AC$102,2,FALSE))</f>
        <v/>
      </c>
      <c r="AD19" s="63"/>
      <c r="AE19" s="67"/>
      <c r="AF19" s="74"/>
      <c r="AG19" s="114"/>
      <c r="AH19" s="63"/>
      <c r="AI19" s="27" t="str">
        <f>IF(AH19="","",VLOOKUP(AH19,Parts_Data!$AB$2:$AC$102,2,FALSE))</f>
        <v/>
      </c>
      <c r="AJ19" s="63"/>
      <c r="AK19" s="67"/>
      <c r="AL19" s="74"/>
      <c r="AM19" s="114"/>
      <c r="AN19" s="63"/>
      <c r="AO19" s="27" t="str">
        <f>IF(AN19="","",VLOOKUP(AN19,Parts_Data!$AB$2:$AC$102,2,FALSE))</f>
        <v/>
      </c>
      <c r="AP19" s="63"/>
      <c r="AQ19" s="67"/>
      <c r="AR19" s="74"/>
      <c r="AS19" s="114"/>
      <c r="AT19" s="63"/>
      <c r="AU19" s="27" t="str">
        <f>IF(AT19="","",VLOOKUP(AT19,Parts_Data!$AB$2:$AC$102,2,FALSE))</f>
        <v/>
      </c>
      <c r="AV19" s="63"/>
      <c r="AW19" s="67"/>
      <c r="AX19" s="74"/>
      <c r="AY19" s="114"/>
      <c r="AZ19" s="63"/>
      <c r="BA19" s="27" t="str">
        <f>IF(AZ19="","",VLOOKUP(AZ19,Parts_Data!$AB$2:$AC$102,2,FALSE))</f>
        <v/>
      </c>
      <c r="BB19" s="63"/>
      <c r="BC19" s="67"/>
      <c r="BD19" s="74"/>
      <c r="BE19" s="114"/>
      <c r="BF19" s="63"/>
      <c r="BG19" s="27" t="str">
        <f>IF(BF19="","",VLOOKUP(BF19,Parts_Data!$AB$2:$AC$102,2,FALSE))</f>
        <v/>
      </c>
      <c r="BH19" s="63"/>
      <c r="BI19" s="67"/>
      <c r="BJ19" s="74"/>
      <c r="BK19" s="114"/>
      <c r="BL19" s="63"/>
      <c r="BM19" s="27" t="str">
        <f>IF(BL19="","",VLOOKUP(BL19,Parts_Data!$AB$2:$AC$102,2,FALSE))</f>
        <v/>
      </c>
      <c r="BN19" s="63"/>
      <c r="BO19" s="67"/>
      <c r="BP19" s="74"/>
      <c r="BQ19" s="114"/>
      <c r="BR19" s="63"/>
      <c r="BS19" s="27" t="str">
        <f>IF(BR19="","",VLOOKUP(BR19,Parts_Data!$AB$2:$AC$102,2,FALSE))</f>
        <v/>
      </c>
      <c r="BT19" s="63"/>
      <c r="BU19" s="67"/>
      <c r="BV19" s="74"/>
      <c r="BW19" s="114"/>
      <c r="BX19" s="63"/>
      <c r="BY19" s="27" t="str">
        <f>IF(BX19="","",VLOOKUP(BX19,Parts_Data!$AB$2:$AC$102,2,FALSE))</f>
        <v/>
      </c>
      <c r="BZ19" s="63"/>
      <c r="CA19" s="67"/>
      <c r="CB19" s="74"/>
      <c r="CC19" s="114"/>
      <c r="CD19" s="63"/>
      <c r="CE19" s="27" t="str">
        <f>IF(CD19="","",VLOOKUP(CD19,Parts_Data!$AB$2:$AC$102,2,FALSE))</f>
        <v/>
      </c>
      <c r="CF19" s="63"/>
      <c r="CG19" s="67"/>
      <c r="CH19" s="74"/>
      <c r="CI19" s="114"/>
      <c r="CJ19" s="63"/>
      <c r="CK19" s="27" t="str">
        <f>IF(CJ19="","",VLOOKUP(CJ19,Parts_Data!$AB$2:$AC$102,2,FALSE))</f>
        <v/>
      </c>
      <c r="CL19" s="63"/>
      <c r="CM19" s="67"/>
      <c r="CN19" s="74"/>
      <c r="CO19" s="114"/>
      <c r="CP19" s="63"/>
      <c r="CQ19" s="27" t="str">
        <f>IF(CP19="","",VLOOKUP(CP19,Parts_Data!$AB$2:$AC$102,2,FALSE))</f>
        <v/>
      </c>
      <c r="CR19" s="63"/>
      <c r="CS19" s="67"/>
      <c r="CT19" s="74"/>
      <c r="CU19" s="114"/>
      <c r="CV19" s="63"/>
      <c r="CW19" s="27" t="str">
        <f>IF(CV19="","",VLOOKUP(CV19,Parts_Data!$AB$2:$AC$102,2,FALSE))</f>
        <v/>
      </c>
      <c r="CX19" s="63"/>
      <c r="CY19" s="67"/>
      <c r="CZ19" s="74"/>
      <c r="DA19" s="114"/>
      <c r="DB19" s="63"/>
      <c r="DC19" s="27" t="str">
        <f>IF(DB19="","",VLOOKUP(DB19,Parts_Data!$AB$2:$AC$102,2,FALSE))</f>
        <v/>
      </c>
      <c r="DD19" s="63"/>
      <c r="DE19" s="67"/>
      <c r="DF19" s="74"/>
      <c r="DG19" s="114"/>
      <c r="DH19" s="63"/>
      <c r="DI19" s="27" t="str">
        <f>IF(DH19="","",VLOOKUP(DH19,Parts_Data!$AB$2:$AC$102,2,FALSE))</f>
        <v/>
      </c>
      <c r="DJ19" s="63"/>
      <c r="DK19" s="67"/>
      <c r="DL19" s="74"/>
      <c r="DM19" s="114"/>
      <c r="DN19" s="63"/>
      <c r="DO19" s="27" t="str">
        <f>IF(DN19="","",VLOOKUP(DN19,Parts_Data!$AB$2:$AC$102,2,FALSE))</f>
        <v/>
      </c>
      <c r="DP19" s="63"/>
      <c r="DQ19" s="67"/>
      <c r="DR19" s="74"/>
      <c r="DS19" s="114"/>
      <c r="DT19" s="63"/>
      <c r="DU19" s="27" t="str">
        <f>IF(DT19="","",VLOOKUP(DT19,Parts_Data!$AB$2:$AC$102,2,FALSE))</f>
        <v/>
      </c>
      <c r="DV19" s="63"/>
      <c r="DW19" s="67"/>
      <c r="DX19" s="74"/>
      <c r="DY19" s="114"/>
      <c r="DZ19" s="63"/>
      <c r="EA19" s="27" t="str">
        <f>IF(DZ19="","",VLOOKUP(DZ19,Parts_Data!$AB$2:$AC$102,2,FALSE))</f>
        <v/>
      </c>
      <c r="EB19" s="63"/>
      <c r="EC19" s="67"/>
      <c r="ED19" s="74"/>
      <c r="EE19" s="114"/>
      <c r="EF19" s="63"/>
      <c r="EG19" s="27" t="str">
        <f>IF(EF19="","",VLOOKUP(EF19,Parts_Data!$AB$2:$AC$102,2,FALSE))</f>
        <v/>
      </c>
      <c r="EH19" s="63"/>
      <c r="EI19" s="67"/>
      <c r="EJ19" s="74"/>
      <c r="EK19" s="114"/>
      <c r="EL19" s="63"/>
      <c r="EM19" s="27" t="str">
        <f>IF(EL19="","",VLOOKUP(EL19,Parts_Data!$AB$2:$AC$102,2,FALSE))</f>
        <v/>
      </c>
      <c r="EN19" s="63"/>
      <c r="EO19" s="67"/>
      <c r="EP19" s="74"/>
      <c r="EQ19" s="114"/>
      <c r="ER19" s="63"/>
      <c r="ES19" s="27" t="str">
        <f>IF(ER19="","",VLOOKUP(ER19,Parts_Data!$AB$2:$AC$102,2,FALSE))</f>
        <v/>
      </c>
      <c r="ET19" s="63"/>
      <c r="EU19" s="67"/>
      <c r="EV19" s="74"/>
      <c r="EW19" s="114"/>
    </row>
    <row r="20" spans="1:153" ht="15.6" x14ac:dyDescent="0.3">
      <c r="A20" t="str">
        <f t="shared" si="0"/>
        <v>GR700ES1</v>
      </c>
      <c r="B20" s="50">
        <v>7</v>
      </c>
      <c r="C20" s="32" t="str">
        <f t="shared" si="1"/>
        <v>GR700ES1.7</v>
      </c>
      <c r="D20" s="64"/>
      <c r="E20" s="26" t="str">
        <f>IF(D20="","",VLOOKUP(D20,Parts_Data!$AB$2:$AC$102,2,FALSE))</f>
        <v/>
      </c>
      <c r="F20" s="64"/>
      <c r="G20" s="68"/>
      <c r="H20" s="75"/>
      <c r="I20" s="115"/>
      <c r="J20" s="64"/>
      <c r="K20" s="26" t="str">
        <f>IF(J20="","",VLOOKUP(J20,Parts_Data!$AB$2:$AC$102,2,FALSE))</f>
        <v/>
      </c>
      <c r="L20" s="64"/>
      <c r="M20" s="68"/>
      <c r="N20" s="75"/>
      <c r="O20" s="115"/>
      <c r="P20" s="64"/>
      <c r="Q20" s="26" t="str">
        <f>IF(P20="","",VLOOKUP(P20,Parts_Data!$AB$2:$AC$102,2,FALSE))</f>
        <v/>
      </c>
      <c r="R20" s="64"/>
      <c r="S20" s="68"/>
      <c r="T20" s="75"/>
      <c r="U20" s="115"/>
      <c r="V20" s="64"/>
      <c r="W20" s="26" t="str">
        <f>IF(V20="","",VLOOKUP(V20,Parts_Data!$AB$2:$AC$102,2,FALSE))</f>
        <v/>
      </c>
      <c r="X20" s="64"/>
      <c r="Y20" s="68"/>
      <c r="Z20" s="75"/>
      <c r="AA20" s="115"/>
      <c r="AB20" s="64"/>
      <c r="AC20" s="26" t="str">
        <f>IF(AB20="","",VLOOKUP(AB20,Parts_Data!$AB$2:$AC$102,2,FALSE))</f>
        <v/>
      </c>
      <c r="AD20" s="64"/>
      <c r="AE20" s="68"/>
      <c r="AF20" s="75"/>
      <c r="AG20" s="115"/>
      <c r="AH20" s="64"/>
      <c r="AI20" s="26" t="str">
        <f>IF(AH20="","",VLOOKUP(AH20,Parts_Data!$AB$2:$AC$102,2,FALSE))</f>
        <v/>
      </c>
      <c r="AJ20" s="64"/>
      <c r="AK20" s="68"/>
      <c r="AL20" s="75"/>
      <c r="AM20" s="115"/>
      <c r="AN20" s="64"/>
      <c r="AO20" s="26" t="str">
        <f>IF(AN20="","",VLOOKUP(AN20,Parts_Data!$AB$2:$AC$102,2,FALSE))</f>
        <v/>
      </c>
      <c r="AP20" s="64"/>
      <c r="AQ20" s="68"/>
      <c r="AR20" s="75"/>
      <c r="AS20" s="115"/>
      <c r="AT20" s="64"/>
      <c r="AU20" s="26" t="str">
        <f>IF(AT20="","",VLOOKUP(AT20,Parts_Data!$AB$2:$AC$102,2,FALSE))</f>
        <v/>
      </c>
      <c r="AV20" s="64"/>
      <c r="AW20" s="68"/>
      <c r="AX20" s="75"/>
      <c r="AY20" s="115"/>
      <c r="AZ20" s="64"/>
      <c r="BA20" s="26" t="str">
        <f>IF(AZ20="","",VLOOKUP(AZ20,Parts_Data!$AB$2:$AC$102,2,FALSE))</f>
        <v/>
      </c>
      <c r="BB20" s="64"/>
      <c r="BC20" s="68"/>
      <c r="BD20" s="75"/>
      <c r="BE20" s="115"/>
      <c r="BF20" s="64"/>
      <c r="BG20" s="26" t="str">
        <f>IF(BF20="","",VLOOKUP(BF20,Parts_Data!$AB$2:$AC$102,2,FALSE))</f>
        <v/>
      </c>
      <c r="BH20" s="64"/>
      <c r="BI20" s="68"/>
      <c r="BJ20" s="75"/>
      <c r="BK20" s="115"/>
      <c r="BL20" s="64"/>
      <c r="BM20" s="26" t="str">
        <f>IF(BL20="","",VLOOKUP(BL20,Parts_Data!$AB$2:$AC$102,2,FALSE))</f>
        <v/>
      </c>
      <c r="BN20" s="64"/>
      <c r="BO20" s="68"/>
      <c r="BP20" s="75"/>
      <c r="BQ20" s="115"/>
      <c r="BR20" s="64"/>
      <c r="BS20" s="26" t="str">
        <f>IF(BR20="","",VLOOKUP(BR20,Parts_Data!$AB$2:$AC$102,2,FALSE))</f>
        <v/>
      </c>
      <c r="BT20" s="64"/>
      <c r="BU20" s="68"/>
      <c r="BV20" s="75"/>
      <c r="BW20" s="115"/>
      <c r="BX20" s="64"/>
      <c r="BY20" s="26" t="str">
        <f>IF(BX20="","",VLOOKUP(BX20,Parts_Data!$AB$2:$AC$102,2,FALSE))</f>
        <v/>
      </c>
      <c r="BZ20" s="64"/>
      <c r="CA20" s="68"/>
      <c r="CB20" s="75"/>
      <c r="CC20" s="115"/>
      <c r="CD20" s="64"/>
      <c r="CE20" s="26" t="str">
        <f>IF(CD20="","",VLOOKUP(CD20,Parts_Data!$AB$2:$AC$102,2,FALSE))</f>
        <v/>
      </c>
      <c r="CF20" s="64"/>
      <c r="CG20" s="68"/>
      <c r="CH20" s="75"/>
      <c r="CI20" s="115"/>
      <c r="CJ20" s="64"/>
      <c r="CK20" s="26" t="str">
        <f>IF(CJ20="","",VLOOKUP(CJ20,Parts_Data!$AB$2:$AC$102,2,FALSE))</f>
        <v/>
      </c>
      <c r="CL20" s="64"/>
      <c r="CM20" s="68"/>
      <c r="CN20" s="75"/>
      <c r="CO20" s="115"/>
      <c r="CP20" s="64"/>
      <c r="CQ20" s="26" t="str">
        <f>IF(CP20="","",VLOOKUP(CP20,Parts_Data!$AB$2:$AC$102,2,FALSE))</f>
        <v/>
      </c>
      <c r="CR20" s="64"/>
      <c r="CS20" s="68"/>
      <c r="CT20" s="75"/>
      <c r="CU20" s="115"/>
      <c r="CV20" s="64"/>
      <c r="CW20" s="26" t="str">
        <f>IF(CV20="","",VLOOKUP(CV20,Parts_Data!$AB$2:$AC$102,2,FALSE))</f>
        <v/>
      </c>
      <c r="CX20" s="64"/>
      <c r="CY20" s="68"/>
      <c r="CZ20" s="75"/>
      <c r="DA20" s="115"/>
      <c r="DB20" s="64"/>
      <c r="DC20" s="26" t="str">
        <f>IF(DB20="","",VLOOKUP(DB20,Parts_Data!$AB$2:$AC$102,2,FALSE))</f>
        <v/>
      </c>
      <c r="DD20" s="64"/>
      <c r="DE20" s="68"/>
      <c r="DF20" s="75"/>
      <c r="DG20" s="115"/>
      <c r="DH20" s="64"/>
      <c r="DI20" s="26" t="str">
        <f>IF(DH20="","",VLOOKUP(DH20,Parts_Data!$AB$2:$AC$102,2,FALSE))</f>
        <v/>
      </c>
      <c r="DJ20" s="64"/>
      <c r="DK20" s="68"/>
      <c r="DL20" s="75"/>
      <c r="DM20" s="115"/>
      <c r="DN20" s="64"/>
      <c r="DO20" s="26" t="str">
        <f>IF(DN20="","",VLOOKUP(DN20,Parts_Data!$AB$2:$AC$102,2,FALSE))</f>
        <v/>
      </c>
      <c r="DP20" s="64"/>
      <c r="DQ20" s="68"/>
      <c r="DR20" s="75"/>
      <c r="DS20" s="115"/>
      <c r="DT20" s="64"/>
      <c r="DU20" s="26" t="str">
        <f>IF(DT20="","",VLOOKUP(DT20,Parts_Data!$AB$2:$AC$102,2,FALSE))</f>
        <v/>
      </c>
      <c r="DV20" s="64"/>
      <c r="DW20" s="68"/>
      <c r="DX20" s="75"/>
      <c r="DY20" s="115"/>
      <c r="DZ20" s="64"/>
      <c r="EA20" s="26" t="str">
        <f>IF(DZ20="","",VLOOKUP(DZ20,Parts_Data!$AB$2:$AC$102,2,FALSE))</f>
        <v/>
      </c>
      <c r="EB20" s="64"/>
      <c r="EC20" s="68"/>
      <c r="ED20" s="75"/>
      <c r="EE20" s="115"/>
      <c r="EF20" s="64"/>
      <c r="EG20" s="26" t="str">
        <f>IF(EF20="","",VLOOKUP(EF20,Parts_Data!$AB$2:$AC$102,2,FALSE))</f>
        <v/>
      </c>
      <c r="EH20" s="64"/>
      <c r="EI20" s="68"/>
      <c r="EJ20" s="75"/>
      <c r="EK20" s="115"/>
      <c r="EL20" s="64"/>
      <c r="EM20" s="26" t="str">
        <f>IF(EL20="","",VLOOKUP(EL20,Parts_Data!$AB$2:$AC$102,2,FALSE))</f>
        <v/>
      </c>
      <c r="EN20" s="64"/>
      <c r="EO20" s="68"/>
      <c r="EP20" s="75"/>
      <c r="EQ20" s="115"/>
      <c r="ER20" s="64"/>
      <c r="ES20" s="26" t="str">
        <f>IF(ER20="","",VLOOKUP(ER20,Parts_Data!$AB$2:$AC$102,2,FALSE))</f>
        <v/>
      </c>
      <c r="ET20" s="64"/>
      <c r="EU20" s="68"/>
      <c r="EV20" s="75"/>
      <c r="EW20" s="115"/>
    </row>
    <row r="21" spans="1:153" ht="15.6" x14ac:dyDescent="0.3">
      <c r="A21" t="str">
        <f t="shared" si="0"/>
        <v>GR700ES1</v>
      </c>
      <c r="B21" s="50">
        <v>8</v>
      </c>
      <c r="C21" s="32" t="str">
        <f t="shared" si="1"/>
        <v>GR700ES1.8</v>
      </c>
      <c r="D21" s="63"/>
      <c r="E21" s="27" t="str">
        <f>IF(D21="","",VLOOKUP(D21,Parts_Data!$AB$2:$AC$102,2,FALSE))</f>
        <v/>
      </c>
      <c r="F21" s="63"/>
      <c r="G21" s="67"/>
      <c r="H21" s="74"/>
      <c r="I21" s="114"/>
      <c r="J21" s="63"/>
      <c r="K21" s="27" t="str">
        <f>IF(J21="","",VLOOKUP(J21,Parts_Data!$AB$2:$AC$102,2,FALSE))</f>
        <v/>
      </c>
      <c r="L21" s="63"/>
      <c r="M21" s="67"/>
      <c r="N21" s="74"/>
      <c r="O21" s="114"/>
      <c r="P21" s="63"/>
      <c r="Q21" s="27" t="str">
        <f>IF(P21="","",VLOOKUP(P21,Parts_Data!$AB$2:$AC$102,2,FALSE))</f>
        <v/>
      </c>
      <c r="R21" s="63"/>
      <c r="S21" s="67"/>
      <c r="T21" s="74"/>
      <c r="U21" s="114"/>
      <c r="V21" s="63"/>
      <c r="W21" s="27" t="str">
        <f>IF(V21="","",VLOOKUP(V21,Parts_Data!$AB$2:$AC$102,2,FALSE))</f>
        <v/>
      </c>
      <c r="X21" s="63"/>
      <c r="Y21" s="67"/>
      <c r="Z21" s="74"/>
      <c r="AA21" s="114"/>
      <c r="AB21" s="63"/>
      <c r="AC21" s="27" t="str">
        <f>IF(AB21="","",VLOOKUP(AB21,Parts_Data!$AB$2:$AC$102,2,FALSE))</f>
        <v/>
      </c>
      <c r="AD21" s="63"/>
      <c r="AE21" s="67"/>
      <c r="AF21" s="74"/>
      <c r="AG21" s="114"/>
      <c r="AH21" s="63"/>
      <c r="AI21" s="27" t="str">
        <f>IF(AH21="","",VLOOKUP(AH21,Parts_Data!$AB$2:$AC$102,2,FALSE))</f>
        <v/>
      </c>
      <c r="AJ21" s="63"/>
      <c r="AK21" s="67"/>
      <c r="AL21" s="74"/>
      <c r="AM21" s="114"/>
      <c r="AN21" s="63"/>
      <c r="AO21" s="27" t="str">
        <f>IF(AN21="","",VLOOKUP(AN21,Parts_Data!$AB$2:$AC$102,2,FALSE))</f>
        <v/>
      </c>
      <c r="AP21" s="63"/>
      <c r="AQ21" s="67"/>
      <c r="AR21" s="74"/>
      <c r="AS21" s="114"/>
      <c r="AT21" s="63"/>
      <c r="AU21" s="27" t="str">
        <f>IF(AT21="","",VLOOKUP(AT21,Parts_Data!$AB$2:$AC$102,2,FALSE))</f>
        <v/>
      </c>
      <c r="AV21" s="63"/>
      <c r="AW21" s="67"/>
      <c r="AX21" s="74"/>
      <c r="AY21" s="114"/>
      <c r="AZ21" s="63"/>
      <c r="BA21" s="27" t="str">
        <f>IF(AZ21="","",VLOOKUP(AZ21,Parts_Data!$AB$2:$AC$102,2,FALSE))</f>
        <v/>
      </c>
      <c r="BB21" s="63"/>
      <c r="BC21" s="67"/>
      <c r="BD21" s="74"/>
      <c r="BE21" s="114"/>
      <c r="BF21" s="63"/>
      <c r="BG21" s="27" t="str">
        <f>IF(BF21="","",VLOOKUP(BF21,Parts_Data!$AB$2:$AC$102,2,FALSE))</f>
        <v/>
      </c>
      <c r="BH21" s="63"/>
      <c r="BI21" s="67"/>
      <c r="BJ21" s="74"/>
      <c r="BK21" s="114"/>
      <c r="BL21" s="63"/>
      <c r="BM21" s="27" t="str">
        <f>IF(BL21="","",VLOOKUP(BL21,Parts_Data!$AB$2:$AC$102,2,FALSE))</f>
        <v/>
      </c>
      <c r="BN21" s="63"/>
      <c r="BO21" s="67"/>
      <c r="BP21" s="74"/>
      <c r="BQ21" s="114"/>
      <c r="BR21" s="63"/>
      <c r="BS21" s="27" t="str">
        <f>IF(BR21="","",VLOOKUP(BR21,Parts_Data!$AB$2:$AC$102,2,FALSE))</f>
        <v/>
      </c>
      <c r="BT21" s="63"/>
      <c r="BU21" s="67"/>
      <c r="BV21" s="74"/>
      <c r="BW21" s="114"/>
      <c r="BX21" s="63"/>
      <c r="BY21" s="27" t="str">
        <f>IF(BX21="","",VLOOKUP(BX21,Parts_Data!$AB$2:$AC$102,2,FALSE))</f>
        <v/>
      </c>
      <c r="BZ21" s="63"/>
      <c r="CA21" s="67"/>
      <c r="CB21" s="74"/>
      <c r="CC21" s="114"/>
      <c r="CD21" s="63"/>
      <c r="CE21" s="27" t="str">
        <f>IF(CD21="","",VLOOKUP(CD21,Parts_Data!$AB$2:$AC$102,2,FALSE))</f>
        <v/>
      </c>
      <c r="CF21" s="63"/>
      <c r="CG21" s="67"/>
      <c r="CH21" s="74"/>
      <c r="CI21" s="114"/>
      <c r="CJ21" s="63"/>
      <c r="CK21" s="27" t="str">
        <f>IF(CJ21="","",VLOOKUP(CJ21,Parts_Data!$AB$2:$AC$102,2,FALSE))</f>
        <v/>
      </c>
      <c r="CL21" s="63"/>
      <c r="CM21" s="67"/>
      <c r="CN21" s="74"/>
      <c r="CO21" s="114"/>
      <c r="CP21" s="63"/>
      <c r="CQ21" s="27" t="str">
        <f>IF(CP21="","",VLOOKUP(CP21,Parts_Data!$AB$2:$AC$102,2,FALSE))</f>
        <v/>
      </c>
      <c r="CR21" s="63"/>
      <c r="CS21" s="67"/>
      <c r="CT21" s="74"/>
      <c r="CU21" s="114"/>
      <c r="CV21" s="63"/>
      <c r="CW21" s="27" t="str">
        <f>IF(CV21="","",VLOOKUP(CV21,Parts_Data!$AB$2:$AC$102,2,FALSE))</f>
        <v/>
      </c>
      <c r="CX21" s="63"/>
      <c r="CY21" s="67"/>
      <c r="CZ21" s="74"/>
      <c r="DA21" s="114"/>
      <c r="DB21" s="63"/>
      <c r="DC21" s="27" t="str">
        <f>IF(DB21="","",VLOOKUP(DB21,Parts_Data!$AB$2:$AC$102,2,FALSE))</f>
        <v/>
      </c>
      <c r="DD21" s="63"/>
      <c r="DE21" s="67"/>
      <c r="DF21" s="74"/>
      <c r="DG21" s="114"/>
      <c r="DH21" s="63"/>
      <c r="DI21" s="27" t="str">
        <f>IF(DH21="","",VLOOKUP(DH21,Parts_Data!$AB$2:$AC$102,2,FALSE))</f>
        <v/>
      </c>
      <c r="DJ21" s="63"/>
      <c r="DK21" s="67"/>
      <c r="DL21" s="74"/>
      <c r="DM21" s="114"/>
      <c r="DN21" s="63"/>
      <c r="DO21" s="27" t="str">
        <f>IF(DN21="","",VLOOKUP(DN21,Parts_Data!$AB$2:$AC$102,2,FALSE))</f>
        <v/>
      </c>
      <c r="DP21" s="63"/>
      <c r="DQ21" s="67"/>
      <c r="DR21" s="74"/>
      <c r="DS21" s="114"/>
      <c r="DT21" s="63"/>
      <c r="DU21" s="27" t="str">
        <f>IF(DT21="","",VLOOKUP(DT21,Parts_Data!$AB$2:$AC$102,2,FALSE))</f>
        <v/>
      </c>
      <c r="DV21" s="63"/>
      <c r="DW21" s="67"/>
      <c r="DX21" s="74"/>
      <c r="DY21" s="114"/>
      <c r="DZ21" s="63"/>
      <c r="EA21" s="27" t="str">
        <f>IF(DZ21="","",VLOOKUP(DZ21,Parts_Data!$AB$2:$AC$102,2,FALSE))</f>
        <v/>
      </c>
      <c r="EB21" s="63"/>
      <c r="EC21" s="67"/>
      <c r="ED21" s="74"/>
      <c r="EE21" s="114"/>
      <c r="EF21" s="63"/>
      <c r="EG21" s="27" t="str">
        <f>IF(EF21="","",VLOOKUP(EF21,Parts_Data!$AB$2:$AC$102,2,FALSE))</f>
        <v/>
      </c>
      <c r="EH21" s="63"/>
      <c r="EI21" s="67"/>
      <c r="EJ21" s="74"/>
      <c r="EK21" s="114"/>
      <c r="EL21" s="63"/>
      <c r="EM21" s="27" t="str">
        <f>IF(EL21="","",VLOOKUP(EL21,Parts_Data!$AB$2:$AC$102,2,FALSE))</f>
        <v/>
      </c>
      <c r="EN21" s="63"/>
      <c r="EO21" s="67"/>
      <c r="EP21" s="74"/>
      <c r="EQ21" s="114"/>
      <c r="ER21" s="63"/>
      <c r="ES21" s="27" t="str">
        <f>IF(ER21="","",VLOOKUP(ER21,Parts_Data!$AB$2:$AC$102,2,FALSE))</f>
        <v/>
      </c>
      <c r="ET21" s="63"/>
      <c r="EU21" s="67"/>
      <c r="EV21" s="74"/>
      <c r="EW21" s="114"/>
    </row>
    <row r="22" spans="1:153" ht="15.6" x14ac:dyDescent="0.3">
      <c r="A22" t="str">
        <f t="shared" si="0"/>
        <v>GR700ES1</v>
      </c>
      <c r="B22" s="50">
        <v>9</v>
      </c>
      <c r="C22" s="32" t="str">
        <f t="shared" si="1"/>
        <v>GR700ES1.9</v>
      </c>
      <c r="D22" s="64"/>
      <c r="E22" s="26" t="str">
        <f>IF(D22="","",VLOOKUP(D22,Parts_Data!$AB$2:$AC$102,2,FALSE))</f>
        <v/>
      </c>
      <c r="F22" s="64"/>
      <c r="G22" s="68"/>
      <c r="H22" s="75"/>
      <c r="I22" s="115"/>
      <c r="J22" s="64"/>
      <c r="K22" s="26" t="str">
        <f>IF(J22="","",VLOOKUP(J22,Parts_Data!$AB$2:$AC$102,2,FALSE))</f>
        <v/>
      </c>
      <c r="L22" s="64"/>
      <c r="M22" s="68"/>
      <c r="N22" s="75"/>
      <c r="O22" s="115"/>
      <c r="P22" s="64"/>
      <c r="Q22" s="26" t="str">
        <f>IF(P22="","",VLOOKUP(P22,Parts_Data!$AB$2:$AC$102,2,FALSE))</f>
        <v/>
      </c>
      <c r="R22" s="64"/>
      <c r="S22" s="68"/>
      <c r="T22" s="75"/>
      <c r="U22" s="115"/>
      <c r="V22" s="64"/>
      <c r="W22" s="26" t="str">
        <f>IF(V22="","",VLOOKUP(V22,Parts_Data!$AB$2:$AC$102,2,FALSE))</f>
        <v/>
      </c>
      <c r="X22" s="64"/>
      <c r="Y22" s="68"/>
      <c r="Z22" s="75"/>
      <c r="AA22" s="115"/>
      <c r="AB22" s="64"/>
      <c r="AC22" s="26" t="str">
        <f>IF(AB22="","",VLOOKUP(AB22,Parts_Data!$AB$2:$AC$102,2,FALSE))</f>
        <v/>
      </c>
      <c r="AD22" s="64"/>
      <c r="AE22" s="68"/>
      <c r="AF22" s="75"/>
      <c r="AG22" s="115"/>
      <c r="AH22" s="64"/>
      <c r="AI22" s="26" t="str">
        <f>IF(AH22="","",VLOOKUP(AH22,Parts_Data!$AB$2:$AC$102,2,FALSE))</f>
        <v/>
      </c>
      <c r="AJ22" s="64"/>
      <c r="AK22" s="68"/>
      <c r="AL22" s="75"/>
      <c r="AM22" s="115"/>
      <c r="AN22" s="64"/>
      <c r="AO22" s="26" t="str">
        <f>IF(AN22="","",VLOOKUP(AN22,Parts_Data!$AB$2:$AC$102,2,FALSE))</f>
        <v/>
      </c>
      <c r="AP22" s="64"/>
      <c r="AQ22" s="68"/>
      <c r="AR22" s="75"/>
      <c r="AS22" s="115"/>
      <c r="AT22" s="64"/>
      <c r="AU22" s="26" t="str">
        <f>IF(AT22="","",VLOOKUP(AT22,Parts_Data!$AB$2:$AC$102,2,FALSE))</f>
        <v/>
      </c>
      <c r="AV22" s="64"/>
      <c r="AW22" s="68"/>
      <c r="AX22" s="75"/>
      <c r="AY22" s="115"/>
      <c r="AZ22" s="64"/>
      <c r="BA22" s="26" t="str">
        <f>IF(AZ22="","",VLOOKUP(AZ22,Parts_Data!$AB$2:$AC$102,2,FALSE))</f>
        <v/>
      </c>
      <c r="BB22" s="64"/>
      <c r="BC22" s="68"/>
      <c r="BD22" s="75"/>
      <c r="BE22" s="115"/>
      <c r="BF22" s="64"/>
      <c r="BG22" s="26" t="str">
        <f>IF(BF22="","",VLOOKUP(BF22,Parts_Data!$AB$2:$AC$102,2,FALSE))</f>
        <v/>
      </c>
      <c r="BH22" s="64"/>
      <c r="BI22" s="68"/>
      <c r="BJ22" s="75"/>
      <c r="BK22" s="115"/>
      <c r="BL22" s="64"/>
      <c r="BM22" s="26" t="str">
        <f>IF(BL22="","",VLOOKUP(BL22,Parts_Data!$AB$2:$AC$102,2,FALSE))</f>
        <v/>
      </c>
      <c r="BN22" s="64"/>
      <c r="BO22" s="68"/>
      <c r="BP22" s="75"/>
      <c r="BQ22" s="115"/>
      <c r="BR22" s="64"/>
      <c r="BS22" s="26" t="str">
        <f>IF(BR22="","",VLOOKUP(BR22,Parts_Data!$AB$2:$AC$102,2,FALSE))</f>
        <v/>
      </c>
      <c r="BT22" s="64"/>
      <c r="BU22" s="68"/>
      <c r="BV22" s="75"/>
      <c r="BW22" s="115"/>
      <c r="BX22" s="64"/>
      <c r="BY22" s="26" t="str">
        <f>IF(BX22="","",VLOOKUP(BX22,Parts_Data!$AB$2:$AC$102,2,FALSE))</f>
        <v/>
      </c>
      <c r="BZ22" s="64"/>
      <c r="CA22" s="68"/>
      <c r="CB22" s="75"/>
      <c r="CC22" s="115"/>
      <c r="CD22" s="64"/>
      <c r="CE22" s="26" t="str">
        <f>IF(CD22="","",VLOOKUP(CD22,Parts_Data!$AB$2:$AC$102,2,FALSE))</f>
        <v/>
      </c>
      <c r="CF22" s="64"/>
      <c r="CG22" s="68"/>
      <c r="CH22" s="75"/>
      <c r="CI22" s="115"/>
      <c r="CJ22" s="64"/>
      <c r="CK22" s="26" t="str">
        <f>IF(CJ22="","",VLOOKUP(CJ22,Parts_Data!$AB$2:$AC$102,2,FALSE))</f>
        <v/>
      </c>
      <c r="CL22" s="64"/>
      <c r="CM22" s="68"/>
      <c r="CN22" s="75"/>
      <c r="CO22" s="115"/>
      <c r="CP22" s="64"/>
      <c r="CQ22" s="26" t="str">
        <f>IF(CP22="","",VLOOKUP(CP22,Parts_Data!$AB$2:$AC$102,2,FALSE))</f>
        <v/>
      </c>
      <c r="CR22" s="64"/>
      <c r="CS22" s="68"/>
      <c r="CT22" s="75"/>
      <c r="CU22" s="115"/>
      <c r="CV22" s="64"/>
      <c r="CW22" s="26" t="str">
        <f>IF(CV22="","",VLOOKUP(CV22,Parts_Data!$AB$2:$AC$102,2,FALSE))</f>
        <v/>
      </c>
      <c r="CX22" s="64"/>
      <c r="CY22" s="68"/>
      <c r="CZ22" s="75"/>
      <c r="DA22" s="115"/>
      <c r="DB22" s="64"/>
      <c r="DC22" s="26" t="str">
        <f>IF(DB22="","",VLOOKUP(DB22,Parts_Data!$AB$2:$AC$102,2,FALSE))</f>
        <v/>
      </c>
      <c r="DD22" s="64"/>
      <c r="DE22" s="68"/>
      <c r="DF22" s="75"/>
      <c r="DG22" s="115"/>
      <c r="DH22" s="64"/>
      <c r="DI22" s="26" t="str">
        <f>IF(DH22="","",VLOOKUP(DH22,Parts_Data!$AB$2:$AC$102,2,FALSE))</f>
        <v/>
      </c>
      <c r="DJ22" s="64"/>
      <c r="DK22" s="68"/>
      <c r="DL22" s="75"/>
      <c r="DM22" s="115"/>
      <c r="DN22" s="64"/>
      <c r="DO22" s="26" t="str">
        <f>IF(DN22="","",VLOOKUP(DN22,Parts_Data!$AB$2:$AC$102,2,FALSE))</f>
        <v/>
      </c>
      <c r="DP22" s="64"/>
      <c r="DQ22" s="68"/>
      <c r="DR22" s="75"/>
      <c r="DS22" s="115"/>
      <c r="DT22" s="64"/>
      <c r="DU22" s="26" t="str">
        <f>IF(DT22="","",VLOOKUP(DT22,Parts_Data!$AB$2:$AC$102,2,FALSE))</f>
        <v/>
      </c>
      <c r="DV22" s="64"/>
      <c r="DW22" s="68"/>
      <c r="DX22" s="75"/>
      <c r="DY22" s="115"/>
      <c r="DZ22" s="64"/>
      <c r="EA22" s="26" t="str">
        <f>IF(DZ22="","",VLOOKUP(DZ22,Parts_Data!$AB$2:$AC$102,2,FALSE))</f>
        <v/>
      </c>
      <c r="EB22" s="64"/>
      <c r="EC22" s="68"/>
      <c r="ED22" s="75"/>
      <c r="EE22" s="115"/>
      <c r="EF22" s="64"/>
      <c r="EG22" s="26" t="str">
        <f>IF(EF22="","",VLOOKUP(EF22,Parts_Data!$AB$2:$AC$102,2,FALSE))</f>
        <v/>
      </c>
      <c r="EH22" s="64"/>
      <c r="EI22" s="68"/>
      <c r="EJ22" s="75"/>
      <c r="EK22" s="115"/>
      <c r="EL22" s="64"/>
      <c r="EM22" s="26" t="str">
        <f>IF(EL22="","",VLOOKUP(EL22,Parts_Data!$AB$2:$AC$102,2,FALSE))</f>
        <v/>
      </c>
      <c r="EN22" s="64"/>
      <c r="EO22" s="68"/>
      <c r="EP22" s="75"/>
      <c r="EQ22" s="115"/>
      <c r="ER22" s="64"/>
      <c r="ES22" s="26" t="str">
        <f>IF(ER22="","",VLOOKUP(ER22,Parts_Data!$AB$2:$AC$102,2,FALSE))</f>
        <v/>
      </c>
      <c r="ET22" s="64"/>
      <c r="EU22" s="68"/>
      <c r="EV22" s="75"/>
      <c r="EW22" s="115"/>
    </row>
    <row r="23" spans="1:153" ht="15.6" x14ac:dyDescent="0.3">
      <c r="A23" t="str">
        <f t="shared" si="0"/>
        <v>GR700ES1</v>
      </c>
      <c r="B23" s="50">
        <v>10</v>
      </c>
      <c r="C23" s="32" t="str">
        <f t="shared" si="1"/>
        <v>GR700ES1.10</v>
      </c>
      <c r="D23" s="63"/>
      <c r="E23" s="27" t="str">
        <f>IF(D23="","",VLOOKUP(D23,Parts_Data!$AB$2:$AC$102,2,FALSE))</f>
        <v/>
      </c>
      <c r="F23" s="63"/>
      <c r="G23" s="67"/>
      <c r="H23" s="74"/>
      <c r="I23" s="114"/>
      <c r="J23" s="63"/>
      <c r="K23" s="27" t="str">
        <f>IF(J23="","",VLOOKUP(J23,Parts_Data!$AB$2:$AC$102,2,FALSE))</f>
        <v/>
      </c>
      <c r="L23" s="63"/>
      <c r="M23" s="67"/>
      <c r="N23" s="74"/>
      <c r="O23" s="114"/>
      <c r="P23" s="63"/>
      <c r="Q23" s="27" t="str">
        <f>IF(P23="","",VLOOKUP(P23,Parts_Data!$AB$2:$AC$102,2,FALSE))</f>
        <v/>
      </c>
      <c r="R23" s="63"/>
      <c r="S23" s="67"/>
      <c r="T23" s="74"/>
      <c r="U23" s="114"/>
      <c r="V23" s="63"/>
      <c r="W23" s="27" t="str">
        <f>IF(V23="","",VLOOKUP(V23,Parts_Data!$AB$2:$AC$102,2,FALSE))</f>
        <v/>
      </c>
      <c r="X23" s="63"/>
      <c r="Y23" s="67"/>
      <c r="Z23" s="74"/>
      <c r="AA23" s="114"/>
      <c r="AB23" s="63"/>
      <c r="AC23" s="27" t="str">
        <f>IF(AB23="","",VLOOKUP(AB23,Parts_Data!$AB$2:$AC$102,2,FALSE))</f>
        <v/>
      </c>
      <c r="AD23" s="63"/>
      <c r="AE23" s="67"/>
      <c r="AF23" s="74"/>
      <c r="AG23" s="114"/>
      <c r="AH23" s="63"/>
      <c r="AI23" s="27" t="str">
        <f>IF(AH23="","",VLOOKUP(AH23,Parts_Data!$AB$2:$AC$102,2,FALSE))</f>
        <v/>
      </c>
      <c r="AJ23" s="63"/>
      <c r="AK23" s="67"/>
      <c r="AL23" s="74"/>
      <c r="AM23" s="114"/>
      <c r="AN23" s="63"/>
      <c r="AO23" s="27" t="str">
        <f>IF(AN23="","",VLOOKUP(AN23,Parts_Data!$AB$2:$AC$102,2,FALSE))</f>
        <v/>
      </c>
      <c r="AP23" s="63"/>
      <c r="AQ23" s="67"/>
      <c r="AR23" s="74"/>
      <c r="AS23" s="114"/>
      <c r="AT23" s="63"/>
      <c r="AU23" s="27" t="str">
        <f>IF(AT23="","",VLOOKUP(AT23,Parts_Data!$AB$2:$AC$102,2,FALSE))</f>
        <v/>
      </c>
      <c r="AV23" s="63"/>
      <c r="AW23" s="67"/>
      <c r="AX23" s="74"/>
      <c r="AY23" s="114"/>
      <c r="AZ23" s="63"/>
      <c r="BA23" s="27" t="str">
        <f>IF(AZ23="","",VLOOKUP(AZ23,Parts_Data!$AB$2:$AC$102,2,FALSE))</f>
        <v/>
      </c>
      <c r="BB23" s="63"/>
      <c r="BC23" s="67"/>
      <c r="BD23" s="74"/>
      <c r="BE23" s="114"/>
      <c r="BF23" s="63"/>
      <c r="BG23" s="27" t="str">
        <f>IF(BF23="","",VLOOKUP(BF23,Parts_Data!$AB$2:$AC$102,2,FALSE))</f>
        <v/>
      </c>
      <c r="BH23" s="63"/>
      <c r="BI23" s="67"/>
      <c r="BJ23" s="74"/>
      <c r="BK23" s="114"/>
      <c r="BL23" s="63"/>
      <c r="BM23" s="27" t="str">
        <f>IF(BL23="","",VLOOKUP(BL23,Parts_Data!$AB$2:$AC$102,2,FALSE))</f>
        <v/>
      </c>
      <c r="BN23" s="63"/>
      <c r="BO23" s="67"/>
      <c r="BP23" s="74"/>
      <c r="BQ23" s="114"/>
      <c r="BR23" s="63"/>
      <c r="BS23" s="27" t="str">
        <f>IF(BR23="","",VLOOKUP(BR23,Parts_Data!$AB$2:$AC$102,2,FALSE))</f>
        <v/>
      </c>
      <c r="BT23" s="63"/>
      <c r="BU23" s="67"/>
      <c r="BV23" s="74"/>
      <c r="BW23" s="114"/>
      <c r="BX23" s="63"/>
      <c r="BY23" s="27" t="str">
        <f>IF(BX23="","",VLOOKUP(BX23,Parts_Data!$AB$2:$AC$102,2,FALSE))</f>
        <v/>
      </c>
      <c r="BZ23" s="63"/>
      <c r="CA23" s="67"/>
      <c r="CB23" s="74"/>
      <c r="CC23" s="114"/>
      <c r="CD23" s="63"/>
      <c r="CE23" s="27" t="str">
        <f>IF(CD23="","",VLOOKUP(CD23,Parts_Data!$AB$2:$AC$102,2,FALSE))</f>
        <v/>
      </c>
      <c r="CF23" s="63"/>
      <c r="CG23" s="67"/>
      <c r="CH23" s="74"/>
      <c r="CI23" s="114"/>
      <c r="CJ23" s="63"/>
      <c r="CK23" s="27" t="str">
        <f>IF(CJ23="","",VLOOKUP(CJ23,Parts_Data!$AB$2:$AC$102,2,FALSE))</f>
        <v/>
      </c>
      <c r="CL23" s="63"/>
      <c r="CM23" s="67"/>
      <c r="CN23" s="74"/>
      <c r="CO23" s="114"/>
      <c r="CP23" s="63"/>
      <c r="CQ23" s="27" t="str">
        <f>IF(CP23="","",VLOOKUP(CP23,Parts_Data!$AB$2:$AC$102,2,FALSE))</f>
        <v/>
      </c>
      <c r="CR23" s="63"/>
      <c r="CS23" s="67"/>
      <c r="CT23" s="74"/>
      <c r="CU23" s="114"/>
      <c r="CV23" s="63"/>
      <c r="CW23" s="27" t="str">
        <f>IF(CV23="","",VLOOKUP(CV23,Parts_Data!$AB$2:$AC$102,2,FALSE))</f>
        <v/>
      </c>
      <c r="CX23" s="63"/>
      <c r="CY23" s="67"/>
      <c r="CZ23" s="74"/>
      <c r="DA23" s="114"/>
      <c r="DB23" s="63"/>
      <c r="DC23" s="27" t="str">
        <f>IF(DB23="","",VLOOKUP(DB23,Parts_Data!$AB$2:$AC$102,2,FALSE))</f>
        <v/>
      </c>
      <c r="DD23" s="63"/>
      <c r="DE23" s="67"/>
      <c r="DF23" s="74"/>
      <c r="DG23" s="114"/>
      <c r="DH23" s="63"/>
      <c r="DI23" s="27" t="str">
        <f>IF(DH23="","",VLOOKUP(DH23,Parts_Data!$AB$2:$AC$102,2,FALSE))</f>
        <v/>
      </c>
      <c r="DJ23" s="63"/>
      <c r="DK23" s="67"/>
      <c r="DL23" s="74"/>
      <c r="DM23" s="114"/>
      <c r="DN23" s="63"/>
      <c r="DO23" s="27" t="str">
        <f>IF(DN23="","",VLOOKUP(DN23,Parts_Data!$AB$2:$AC$102,2,FALSE))</f>
        <v/>
      </c>
      <c r="DP23" s="63"/>
      <c r="DQ23" s="67"/>
      <c r="DR23" s="74"/>
      <c r="DS23" s="114"/>
      <c r="DT23" s="63"/>
      <c r="DU23" s="27" t="str">
        <f>IF(DT23="","",VLOOKUP(DT23,Parts_Data!$AB$2:$AC$102,2,FALSE))</f>
        <v/>
      </c>
      <c r="DV23" s="63"/>
      <c r="DW23" s="67"/>
      <c r="DX23" s="74"/>
      <c r="DY23" s="114"/>
      <c r="DZ23" s="63"/>
      <c r="EA23" s="27" t="str">
        <f>IF(DZ23="","",VLOOKUP(DZ23,Parts_Data!$AB$2:$AC$102,2,FALSE))</f>
        <v/>
      </c>
      <c r="EB23" s="63"/>
      <c r="EC23" s="67"/>
      <c r="ED23" s="74"/>
      <c r="EE23" s="114"/>
      <c r="EF23" s="63"/>
      <c r="EG23" s="27" t="str">
        <f>IF(EF23="","",VLOOKUP(EF23,Parts_Data!$AB$2:$AC$102,2,FALSE))</f>
        <v/>
      </c>
      <c r="EH23" s="63"/>
      <c r="EI23" s="67"/>
      <c r="EJ23" s="74"/>
      <c r="EK23" s="114"/>
      <c r="EL23" s="63"/>
      <c r="EM23" s="27" t="str">
        <f>IF(EL23="","",VLOOKUP(EL23,Parts_Data!$AB$2:$AC$102,2,FALSE))</f>
        <v/>
      </c>
      <c r="EN23" s="63"/>
      <c r="EO23" s="67"/>
      <c r="EP23" s="74"/>
      <c r="EQ23" s="114"/>
      <c r="ER23" s="63"/>
      <c r="ES23" s="27" t="str">
        <f>IF(ER23="","",VLOOKUP(ER23,Parts_Data!$AB$2:$AC$102,2,FALSE))</f>
        <v/>
      </c>
      <c r="ET23" s="63"/>
      <c r="EU23" s="67"/>
      <c r="EV23" s="74"/>
      <c r="EW23" s="114"/>
    </row>
    <row r="24" spans="1:153" ht="15.6" x14ac:dyDescent="0.3">
      <c r="A24" t="str">
        <f t="shared" si="0"/>
        <v>GR700ES1</v>
      </c>
      <c r="B24" s="50">
        <v>11</v>
      </c>
      <c r="C24" s="32" t="str">
        <f t="shared" si="1"/>
        <v>GR700ES1.11</v>
      </c>
      <c r="D24" s="64"/>
      <c r="E24" s="26" t="str">
        <f>IF(D24="","",VLOOKUP(D24,Parts_Data!$AB$2:$AC$102,2,FALSE))</f>
        <v/>
      </c>
      <c r="F24" s="64"/>
      <c r="G24" s="68"/>
      <c r="H24" s="75"/>
      <c r="I24" s="115"/>
      <c r="J24" s="64"/>
      <c r="K24" s="26" t="str">
        <f>IF(J24="","",VLOOKUP(J24,Parts_Data!$AB$2:$AC$102,2,FALSE))</f>
        <v/>
      </c>
      <c r="L24" s="64"/>
      <c r="M24" s="68"/>
      <c r="N24" s="75"/>
      <c r="O24" s="115"/>
      <c r="P24" s="64"/>
      <c r="Q24" s="26" t="str">
        <f>IF(P24="","",VLOOKUP(P24,Parts_Data!$AB$2:$AC$102,2,FALSE))</f>
        <v/>
      </c>
      <c r="R24" s="64"/>
      <c r="S24" s="68"/>
      <c r="T24" s="75"/>
      <c r="U24" s="115"/>
      <c r="V24" s="64"/>
      <c r="W24" s="26" t="str">
        <f>IF(V24="","",VLOOKUP(V24,Parts_Data!$AB$2:$AC$102,2,FALSE))</f>
        <v/>
      </c>
      <c r="X24" s="64"/>
      <c r="Y24" s="68"/>
      <c r="Z24" s="75"/>
      <c r="AA24" s="115"/>
      <c r="AB24" s="64"/>
      <c r="AC24" s="26" t="str">
        <f>IF(AB24="","",VLOOKUP(AB24,Parts_Data!$AB$2:$AC$102,2,FALSE))</f>
        <v/>
      </c>
      <c r="AD24" s="64"/>
      <c r="AE24" s="68"/>
      <c r="AF24" s="75"/>
      <c r="AG24" s="115"/>
      <c r="AH24" s="64"/>
      <c r="AI24" s="26" t="str">
        <f>IF(AH24="","",VLOOKUP(AH24,Parts_Data!$AB$2:$AC$102,2,FALSE))</f>
        <v/>
      </c>
      <c r="AJ24" s="64"/>
      <c r="AK24" s="68"/>
      <c r="AL24" s="75"/>
      <c r="AM24" s="115"/>
      <c r="AN24" s="64"/>
      <c r="AO24" s="26" t="str">
        <f>IF(AN24="","",VLOOKUP(AN24,Parts_Data!$AB$2:$AC$102,2,FALSE))</f>
        <v/>
      </c>
      <c r="AP24" s="64"/>
      <c r="AQ24" s="68"/>
      <c r="AR24" s="75"/>
      <c r="AS24" s="115"/>
      <c r="AT24" s="64"/>
      <c r="AU24" s="26" t="str">
        <f>IF(AT24="","",VLOOKUP(AT24,Parts_Data!$AB$2:$AC$102,2,FALSE))</f>
        <v/>
      </c>
      <c r="AV24" s="64"/>
      <c r="AW24" s="68"/>
      <c r="AX24" s="75"/>
      <c r="AY24" s="115"/>
      <c r="AZ24" s="64"/>
      <c r="BA24" s="26" t="str">
        <f>IF(AZ24="","",VLOOKUP(AZ24,Parts_Data!$AB$2:$AC$102,2,FALSE))</f>
        <v/>
      </c>
      <c r="BB24" s="64"/>
      <c r="BC24" s="68"/>
      <c r="BD24" s="75"/>
      <c r="BE24" s="115"/>
      <c r="BF24" s="64"/>
      <c r="BG24" s="26" t="str">
        <f>IF(BF24="","",VLOOKUP(BF24,Parts_Data!$AB$2:$AC$102,2,FALSE))</f>
        <v/>
      </c>
      <c r="BH24" s="64"/>
      <c r="BI24" s="68"/>
      <c r="BJ24" s="75"/>
      <c r="BK24" s="115"/>
      <c r="BL24" s="64"/>
      <c r="BM24" s="26" t="str">
        <f>IF(BL24="","",VLOOKUP(BL24,Parts_Data!$AB$2:$AC$102,2,FALSE))</f>
        <v/>
      </c>
      <c r="BN24" s="64"/>
      <c r="BO24" s="68"/>
      <c r="BP24" s="75"/>
      <c r="BQ24" s="115"/>
      <c r="BR24" s="64"/>
      <c r="BS24" s="26" t="str">
        <f>IF(BR24="","",VLOOKUP(BR24,Parts_Data!$AB$2:$AC$102,2,FALSE))</f>
        <v/>
      </c>
      <c r="BT24" s="64"/>
      <c r="BU24" s="68"/>
      <c r="BV24" s="75"/>
      <c r="BW24" s="115"/>
      <c r="BX24" s="64"/>
      <c r="BY24" s="26" t="str">
        <f>IF(BX24="","",VLOOKUP(BX24,Parts_Data!$AB$2:$AC$102,2,FALSE))</f>
        <v/>
      </c>
      <c r="BZ24" s="64"/>
      <c r="CA24" s="68"/>
      <c r="CB24" s="75"/>
      <c r="CC24" s="115"/>
      <c r="CD24" s="64"/>
      <c r="CE24" s="26" t="str">
        <f>IF(CD24="","",VLOOKUP(CD24,Parts_Data!$AB$2:$AC$102,2,FALSE))</f>
        <v/>
      </c>
      <c r="CF24" s="64"/>
      <c r="CG24" s="68"/>
      <c r="CH24" s="75"/>
      <c r="CI24" s="115"/>
      <c r="CJ24" s="64"/>
      <c r="CK24" s="26" t="str">
        <f>IF(CJ24="","",VLOOKUP(CJ24,Parts_Data!$AB$2:$AC$102,2,FALSE))</f>
        <v/>
      </c>
      <c r="CL24" s="64"/>
      <c r="CM24" s="68"/>
      <c r="CN24" s="75"/>
      <c r="CO24" s="115"/>
      <c r="CP24" s="64"/>
      <c r="CQ24" s="26" t="str">
        <f>IF(CP24="","",VLOOKUP(CP24,Parts_Data!$AB$2:$AC$102,2,FALSE))</f>
        <v/>
      </c>
      <c r="CR24" s="64"/>
      <c r="CS24" s="68"/>
      <c r="CT24" s="75"/>
      <c r="CU24" s="115"/>
      <c r="CV24" s="64"/>
      <c r="CW24" s="26" t="str">
        <f>IF(CV24="","",VLOOKUP(CV24,Parts_Data!$AB$2:$AC$102,2,FALSE))</f>
        <v/>
      </c>
      <c r="CX24" s="64"/>
      <c r="CY24" s="68"/>
      <c r="CZ24" s="75"/>
      <c r="DA24" s="115"/>
      <c r="DB24" s="64"/>
      <c r="DC24" s="26" t="str">
        <f>IF(DB24="","",VLOOKUP(DB24,Parts_Data!$AB$2:$AC$102,2,FALSE))</f>
        <v/>
      </c>
      <c r="DD24" s="64"/>
      <c r="DE24" s="68"/>
      <c r="DF24" s="75"/>
      <c r="DG24" s="115"/>
      <c r="DH24" s="64"/>
      <c r="DI24" s="26" t="str">
        <f>IF(DH24="","",VLOOKUP(DH24,Parts_Data!$AB$2:$AC$102,2,FALSE))</f>
        <v/>
      </c>
      <c r="DJ24" s="64"/>
      <c r="DK24" s="68"/>
      <c r="DL24" s="75"/>
      <c r="DM24" s="115"/>
      <c r="DN24" s="64"/>
      <c r="DO24" s="26" t="str">
        <f>IF(DN24="","",VLOOKUP(DN24,Parts_Data!$AB$2:$AC$102,2,FALSE))</f>
        <v/>
      </c>
      <c r="DP24" s="64"/>
      <c r="DQ24" s="68"/>
      <c r="DR24" s="75"/>
      <c r="DS24" s="115"/>
      <c r="DT24" s="64"/>
      <c r="DU24" s="26" t="str">
        <f>IF(DT24="","",VLOOKUP(DT24,Parts_Data!$AB$2:$AC$102,2,FALSE))</f>
        <v/>
      </c>
      <c r="DV24" s="64"/>
      <c r="DW24" s="68"/>
      <c r="DX24" s="75"/>
      <c r="DY24" s="115"/>
      <c r="DZ24" s="64"/>
      <c r="EA24" s="26" t="str">
        <f>IF(DZ24="","",VLOOKUP(DZ24,Parts_Data!$AB$2:$AC$102,2,FALSE))</f>
        <v/>
      </c>
      <c r="EB24" s="64"/>
      <c r="EC24" s="68"/>
      <c r="ED24" s="75"/>
      <c r="EE24" s="115"/>
      <c r="EF24" s="64"/>
      <c r="EG24" s="26" t="str">
        <f>IF(EF24="","",VLOOKUP(EF24,Parts_Data!$AB$2:$AC$102,2,FALSE))</f>
        <v/>
      </c>
      <c r="EH24" s="64"/>
      <c r="EI24" s="68"/>
      <c r="EJ24" s="75"/>
      <c r="EK24" s="115"/>
      <c r="EL24" s="64"/>
      <c r="EM24" s="26" t="str">
        <f>IF(EL24="","",VLOOKUP(EL24,Parts_Data!$AB$2:$AC$102,2,FALSE))</f>
        <v/>
      </c>
      <c r="EN24" s="64"/>
      <c r="EO24" s="68"/>
      <c r="EP24" s="75"/>
      <c r="EQ24" s="115"/>
      <c r="ER24" s="64"/>
      <c r="ES24" s="26" t="str">
        <f>IF(ER24="","",VLOOKUP(ER24,Parts_Data!$AB$2:$AC$102,2,FALSE))</f>
        <v/>
      </c>
      <c r="ET24" s="64"/>
      <c r="EU24" s="68"/>
      <c r="EV24" s="75"/>
      <c r="EW24" s="115"/>
    </row>
    <row r="25" spans="1:153" ht="15.6" x14ac:dyDescent="0.3">
      <c r="A25" t="str">
        <f t="shared" si="0"/>
        <v>GR700ES1</v>
      </c>
      <c r="B25" s="50">
        <v>12</v>
      </c>
      <c r="C25" s="32" t="str">
        <f t="shared" si="1"/>
        <v>GR700ES1.12</v>
      </c>
      <c r="D25" s="63"/>
      <c r="E25" s="27" t="str">
        <f>IF(D25="","",VLOOKUP(D25,Parts_Data!$AB$2:$AC$102,2,FALSE))</f>
        <v/>
      </c>
      <c r="F25" s="63"/>
      <c r="G25" s="67"/>
      <c r="H25" s="74"/>
      <c r="I25" s="114"/>
      <c r="J25" s="63"/>
      <c r="K25" s="27" t="str">
        <f>IF(J25="","",VLOOKUP(J25,Parts_Data!$AB$2:$AC$102,2,FALSE))</f>
        <v/>
      </c>
      <c r="L25" s="63"/>
      <c r="M25" s="67"/>
      <c r="N25" s="74"/>
      <c r="O25" s="114"/>
      <c r="P25" s="63"/>
      <c r="Q25" s="27" t="str">
        <f>IF(P25="","",VLOOKUP(P25,Parts_Data!$AB$2:$AC$102,2,FALSE))</f>
        <v/>
      </c>
      <c r="R25" s="63"/>
      <c r="S25" s="67"/>
      <c r="T25" s="74"/>
      <c r="U25" s="114"/>
      <c r="V25" s="63"/>
      <c r="W25" s="27" t="str">
        <f>IF(V25="","",VLOOKUP(V25,Parts_Data!$AB$2:$AC$102,2,FALSE))</f>
        <v/>
      </c>
      <c r="X25" s="63"/>
      <c r="Y25" s="67"/>
      <c r="Z25" s="74"/>
      <c r="AA25" s="114"/>
      <c r="AB25" s="63"/>
      <c r="AC25" s="27" t="str">
        <f>IF(AB25="","",VLOOKUP(AB25,Parts_Data!$AB$2:$AC$102,2,FALSE))</f>
        <v/>
      </c>
      <c r="AD25" s="63"/>
      <c r="AE25" s="67"/>
      <c r="AF25" s="74"/>
      <c r="AG25" s="114"/>
      <c r="AH25" s="63"/>
      <c r="AI25" s="27" t="str">
        <f>IF(AH25="","",VLOOKUP(AH25,Parts_Data!$AB$2:$AC$102,2,FALSE))</f>
        <v/>
      </c>
      <c r="AJ25" s="63"/>
      <c r="AK25" s="67"/>
      <c r="AL25" s="74"/>
      <c r="AM25" s="114"/>
      <c r="AN25" s="63"/>
      <c r="AO25" s="27" t="str">
        <f>IF(AN25="","",VLOOKUP(AN25,Parts_Data!$AB$2:$AC$102,2,FALSE))</f>
        <v/>
      </c>
      <c r="AP25" s="63"/>
      <c r="AQ25" s="67"/>
      <c r="AR25" s="74"/>
      <c r="AS25" s="114"/>
      <c r="AT25" s="63"/>
      <c r="AU25" s="27" t="str">
        <f>IF(AT25="","",VLOOKUP(AT25,Parts_Data!$AB$2:$AC$102,2,FALSE))</f>
        <v/>
      </c>
      <c r="AV25" s="63"/>
      <c r="AW25" s="67"/>
      <c r="AX25" s="74"/>
      <c r="AY25" s="114"/>
      <c r="AZ25" s="63"/>
      <c r="BA25" s="27" t="str">
        <f>IF(AZ25="","",VLOOKUP(AZ25,Parts_Data!$AB$2:$AC$102,2,FALSE))</f>
        <v/>
      </c>
      <c r="BB25" s="63"/>
      <c r="BC25" s="67"/>
      <c r="BD25" s="74"/>
      <c r="BE25" s="114"/>
      <c r="BF25" s="63"/>
      <c r="BG25" s="27" t="str">
        <f>IF(BF25="","",VLOOKUP(BF25,Parts_Data!$AB$2:$AC$102,2,FALSE))</f>
        <v/>
      </c>
      <c r="BH25" s="63"/>
      <c r="BI25" s="67"/>
      <c r="BJ25" s="74"/>
      <c r="BK25" s="114"/>
      <c r="BL25" s="63"/>
      <c r="BM25" s="27" t="str">
        <f>IF(BL25="","",VLOOKUP(BL25,Parts_Data!$AB$2:$AC$102,2,FALSE))</f>
        <v/>
      </c>
      <c r="BN25" s="63"/>
      <c r="BO25" s="67"/>
      <c r="BP25" s="74"/>
      <c r="BQ25" s="114"/>
      <c r="BR25" s="63"/>
      <c r="BS25" s="27" t="str">
        <f>IF(BR25="","",VLOOKUP(BR25,Parts_Data!$AB$2:$AC$102,2,FALSE))</f>
        <v/>
      </c>
      <c r="BT25" s="63"/>
      <c r="BU25" s="67"/>
      <c r="BV25" s="74"/>
      <c r="BW25" s="114"/>
      <c r="BX25" s="63"/>
      <c r="BY25" s="27" t="str">
        <f>IF(BX25="","",VLOOKUP(BX25,Parts_Data!$AB$2:$AC$102,2,FALSE))</f>
        <v/>
      </c>
      <c r="BZ25" s="63"/>
      <c r="CA25" s="67"/>
      <c r="CB25" s="74"/>
      <c r="CC25" s="114"/>
      <c r="CD25" s="63"/>
      <c r="CE25" s="27" t="str">
        <f>IF(CD25="","",VLOOKUP(CD25,Parts_Data!$AB$2:$AC$102,2,FALSE))</f>
        <v/>
      </c>
      <c r="CF25" s="63"/>
      <c r="CG25" s="67"/>
      <c r="CH25" s="74"/>
      <c r="CI25" s="114"/>
      <c r="CJ25" s="63"/>
      <c r="CK25" s="27" t="str">
        <f>IF(CJ25="","",VLOOKUP(CJ25,Parts_Data!$AB$2:$AC$102,2,FALSE))</f>
        <v/>
      </c>
      <c r="CL25" s="63"/>
      <c r="CM25" s="67"/>
      <c r="CN25" s="74"/>
      <c r="CO25" s="114"/>
      <c r="CP25" s="63"/>
      <c r="CQ25" s="27" t="str">
        <f>IF(CP25="","",VLOOKUP(CP25,Parts_Data!$AB$2:$AC$102,2,FALSE))</f>
        <v/>
      </c>
      <c r="CR25" s="63"/>
      <c r="CS25" s="67"/>
      <c r="CT25" s="74"/>
      <c r="CU25" s="114"/>
      <c r="CV25" s="63"/>
      <c r="CW25" s="27" t="str">
        <f>IF(CV25="","",VLOOKUP(CV25,Parts_Data!$AB$2:$AC$102,2,FALSE))</f>
        <v/>
      </c>
      <c r="CX25" s="63"/>
      <c r="CY25" s="67"/>
      <c r="CZ25" s="74"/>
      <c r="DA25" s="114"/>
      <c r="DB25" s="63"/>
      <c r="DC25" s="27" t="str">
        <f>IF(DB25="","",VLOOKUP(DB25,Parts_Data!$AB$2:$AC$102,2,FALSE))</f>
        <v/>
      </c>
      <c r="DD25" s="63"/>
      <c r="DE25" s="67"/>
      <c r="DF25" s="74"/>
      <c r="DG25" s="114"/>
      <c r="DH25" s="63"/>
      <c r="DI25" s="27" t="str">
        <f>IF(DH25="","",VLOOKUP(DH25,Parts_Data!$AB$2:$AC$102,2,FALSE))</f>
        <v/>
      </c>
      <c r="DJ25" s="63"/>
      <c r="DK25" s="67"/>
      <c r="DL25" s="74"/>
      <c r="DM25" s="114"/>
      <c r="DN25" s="63"/>
      <c r="DO25" s="27" t="str">
        <f>IF(DN25="","",VLOOKUP(DN25,Parts_Data!$AB$2:$AC$102,2,FALSE))</f>
        <v/>
      </c>
      <c r="DP25" s="63"/>
      <c r="DQ25" s="67"/>
      <c r="DR25" s="74"/>
      <c r="DS25" s="114"/>
      <c r="DT25" s="63"/>
      <c r="DU25" s="27" t="str">
        <f>IF(DT25="","",VLOOKUP(DT25,Parts_Data!$AB$2:$AC$102,2,FALSE))</f>
        <v/>
      </c>
      <c r="DV25" s="63"/>
      <c r="DW25" s="67"/>
      <c r="DX25" s="74"/>
      <c r="DY25" s="114"/>
      <c r="DZ25" s="63"/>
      <c r="EA25" s="27" t="str">
        <f>IF(DZ25="","",VLOOKUP(DZ25,Parts_Data!$AB$2:$AC$102,2,FALSE))</f>
        <v/>
      </c>
      <c r="EB25" s="63"/>
      <c r="EC25" s="67"/>
      <c r="ED25" s="74"/>
      <c r="EE25" s="114"/>
      <c r="EF25" s="63"/>
      <c r="EG25" s="27" t="str">
        <f>IF(EF25="","",VLOOKUP(EF25,Parts_Data!$AB$2:$AC$102,2,FALSE))</f>
        <v/>
      </c>
      <c r="EH25" s="63"/>
      <c r="EI25" s="67"/>
      <c r="EJ25" s="74"/>
      <c r="EK25" s="114"/>
      <c r="EL25" s="63"/>
      <c r="EM25" s="27" t="str">
        <f>IF(EL25="","",VLOOKUP(EL25,Parts_Data!$AB$2:$AC$102,2,FALSE))</f>
        <v/>
      </c>
      <c r="EN25" s="63"/>
      <c r="EO25" s="67"/>
      <c r="EP25" s="74"/>
      <c r="EQ25" s="114"/>
      <c r="ER25" s="63"/>
      <c r="ES25" s="27" t="str">
        <f>IF(ER25="","",VLOOKUP(ER25,Parts_Data!$AB$2:$AC$102,2,FALSE))</f>
        <v/>
      </c>
      <c r="ET25" s="63"/>
      <c r="EU25" s="67"/>
      <c r="EV25" s="74"/>
      <c r="EW25" s="114"/>
    </row>
    <row r="26" spans="1:153" ht="15.6" x14ac:dyDescent="0.3">
      <c r="A26" t="str">
        <f t="shared" si="0"/>
        <v>GR700ES1</v>
      </c>
      <c r="B26" s="50">
        <v>13</v>
      </c>
      <c r="C26" s="32" t="str">
        <f t="shared" si="1"/>
        <v>GR700ES1.13</v>
      </c>
      <c r="D26" s="64"/>
      <c r="E26" s="26" t="str">
        <f>IF(D26="","",VLOOKUP(D26,Parts_Data!$AB$2:$AC$102,2,FALSE))</f>
        <v/>
      </c>
      <c r="F26" s="64"/>
      <c r="G26" s="68"/>
      <c r="H26" s="75"/>
      <c r="I26" s="115"/>
      <c r="J26" s="64"/>
      <c r="K26" s="26" t="str">
        <f>IF(J26="","",VLOOKUP(J26,Parts_Data!$AB$2:$AC$102,2,FALSE))</f>
        <v/>
      </c>
      <c r="L26" s="64"/>
      <c r="M26" s="68"/>
      <c r="N26" s="75"/>
      <c r="O26" s="115"/>
      <c r="P26" s="64"/>
      <c r="Q26" s="26" t="str">
        <f>IF(P26="","",VLOOKUP(P26,Parts_Data!$AB$2:$AC$102,2,FALSE))</f>
        <v/>
      </c>
      <c r="R26" s="64"/>
      <c r="S26" s="68"/>
      <c r="T26" s="75"/>
      <c r="U26" s="115"/>
      <c r="V26" s="64"/>
      <c r="W26" s="26" t="str">
        <f>IF(V26="","",VLOOKUP(V26,Parts_Data!$AB$2:$AC$102,2,FALSE))</f>
        <v/>
      </c>
      <c r="X26" s="64"/>
      <c r="Y26" s="68"/>
      <c r="Z26" s="75"/>
      <c r="AA26" s="115"/>
      <c r="AB26" s="64"/>
      <c r="AC26" s="26" t="str">
        <f>IF(AB26="","",VLOOKUP(AB26,Parts_Data!$AB$2:$AC$102,2,FALSE))</f>
        <v/>
      </c>
      <c r="AD26" s="64"/>
      <c r="AE26" s="68"/>
      <c r="AF26" s="75"/>
      <c r="AG26" s="115"/>
      <c r="AH26" s="64"/>
      <c r="AI26" s="26" t="str">
        <f>IF(AH26="","",VLOOKUP(AH26,Parts_Data!$AB$2:$AC$102,2,FALSE))</f>
        <v/>
      </c>
      <c r="AJ26" s="64"/>
      <c r="AK26" s="68"/>
      <c r="AL26" s="75"/>
      <c r="AM26" s="115"/>
      <c r="AN26" s="64"/>
      <c r="AO26" s="26" t="str">
        <f>IF(AN26="","",VLOOKUP(AN26,Parts_Data!$AB$2:$AC$102,2,FALSE))</f>
        <v/>
      </c>
      <c r="AP26" s="64"/>
      <c r="AQ26" s="68"/>
      <c r="AR26" s="75"/>
      <c r="AS26" s="115"/>
      <c r="AT26" s="64"/>
      <c r="AU26" s="26" t="str">
        <f>IF(AT26="","",VLOOKUP(AT26,Parts_Data!$AB$2:$AC$102,2,FALSE))</f>
        <v/>
      </c>
      <c r="AV26" s="64"/>
      <c r="AW26" s="68"/>
      <c r="AX26" s="75"/>
      <c r="AY26" s="115"/>
      <c r="AZ26" s="64"/>
      <c r="BA26" s="26" t="str">
        <f>IF(AZ26="","",VLOOKUP(AZ26,Parts_Data!$AB$2:$AC$102,2,FALSE))</f>
        <v/>
      </c>
      <c r="BB26" s="64"/>
      <c r="BC26" s="68"/>
      <c r="BD26" s="75"/>
      <c r="BE26" s="115"/>
      <c r="BF26" s="64"/>
      <c r="BG26" s="26" t="str">
        <f>IF(BF26="","",VLOOKUP(BF26,Parts_Data!$AB$2:$AC$102,2,FALSE))</f>
        <v/>
      </c>
      <c r="BH26" s="64"/>
      <c r="BI26" s="68"/>
      <c r="BJ26" s="75"/>
      <c r="BK26" s="115"/>
      <c r="BL26" s="64"/>
      <c r="BM26" s="26" t="str">
        <f>IF(BL26="","",VLOOKUP(BL26,Parts_Data!$AB$2:$AC$102,2,FALSE))</f>
        <v/>
      </c>
      <c r="BN26" s="64"/>
      <c r="BO26" s="68"/>
      <c r="BP26" s="75"/>
      <c r="BQ26" s="115"/>
      <c r="BR26" s="64"/>
      <c r="BS26" s="26" t="str">
        <f>IF(BR26="","",VLOOKUP(BR26,Parts_Data!$AB$2:$AC$102,2,FALSE))</f>
        <v/>
      </c>
      <c r="BT26" s="64"/>
      <c r="BU26" s="68"/>
      <c r="BV26" s="75"/>
      <c r="BW26" s="115"/>
      <c r="BX26" s="64"/>
      <c r="BY26" s="26" t="str">
        <f>IF(BX26="","",VLOOKUP(BX26,Parts_Data!$AB$2:$AC$102,2,FALSE))</f>
        <v/>
      </c>
      <c r="BZ26" s="64"/>
      <c r="CA26" s="68"/>
      <c r="CB26" s="75"/>
      <c r="CC26" s="115"/>
      <c r="CD26" s="64"/>
      <c r="CE26" s="26" t="str">
        <f>IF(CD26="","",VLOOKUP(CD26,Parts_Data!$AB$2:$AC$102,2,FALSE))</f>
        <v/>
      </c>
      <c r="CF26" s="64"/>
      <c r="CG26" s="68"/>
      <c r="CH26" s="75"/>
      <c r="CI26" s="115"/>
      <c r="CJ26" s="64"/>
      <c r="CK26" s="26" t="str">
        <f>IF(CJ26="","",VLOOKUP(CJ26,Parts_Data!$AB$2:$AC$102,2,FALSE))</f>
        <v/>
      </c>
      <c r="CL26" s="64"/>
      <c r="CM26" s="68"/>
      <c r="CN26" s="75"/>
      <c r="CO26" s="115"/>
      <c r="CP26" s="64"/>
      <c r="CQ26" s="26" t="str">
        <f>IF(CP26="","",VLOOKUP(CP26,Parts_Data!$AB$2:$AC$102,2,FALSE))</f>
        <v/>
      </c>
      <c r="CR26" s="64"/>
      <c r="CS26" s="68"/>
      <c r="CT26" s="75"/>
      <c r="CU26" s="115"/>
      <c r="CV26" s="64"/>
      <c r="CW26" s="26" t="str">
        <f>IF(CV26="","",VLOOKUP(CV26,Parts_Data!$AB$2:$AC$102,2,FALSE))</f>
        <v/>
      </c>
      <c r="CX26" s="64"/>
      <c r="CY26" s="68"/>
      <c r="CZ26" s="75"/>
      <c r="DA26" s="115"/>
      <c r="DB26" s="64"/>
      <c r="DC26" s="26" t="str">
        <f>IF(DB26="","",VLOOKUP(DB26,Parts_Data!$AB$2:$AC$102,2,FALSE))</f>
        <v/>
      </c>
      <c r="DD26" s="64"/>
      <c r="DE26" s="68"/>
      <c r="DF26" s="75"/>
      <c r="DG26" s="115"/>
      <c r="DH26" s="64"/>
      <c r="DI26" s="26" t="str">
        <f>IF(DH26="","",VLOOKUP(DH26,Parts_Data!$AB$2:$AC$102,2,FALSE))</f>
        <v/>
      </c>
      <c r="DJ26" s="64"/>
      <c r="DK26" s="68"/>
      <c r="DL26" s="75"/>
      <c r="DM26" s="115"/>
      <c r="DN26" s="64"/>
      <c r="DO26" s="26" t="str">
        <f>IF(DN26="","",VLOOKUP(DN26,Parts_Data!$AB$2:$AC$102,2,FALSE))</f>
        <v/>
      </c>
      <c r="DP26" s="64"/>
      <c r="DQ26" s="68"/>
      <c r="DR26" s="75"/>
      <c r="DS26" s="115"/>
      <c r="DT26" s="64"/>
      <c r="DU26" s="26" t="str">
        <f>IF(DT26="","",VLOOKUP(DT26,Parts_Data!$AB$2:$AC$102,2,FALSE))</f>
        <v/>
      </c>
      <c r="DV26" s="64"/>
      <c r="DW26" s="68"/>
      <c r="DX26" s="75"/>
      <c r="DY26" s="115"/>
      <c r="DZ26" s="64"/>
      <c r="EA26" s="26" t="str">
        <f>IF(DZ26="","",VLOOKUP(DZ26,Parts_Data!$AB$2:$AC$102,2,FALSE))</f>
        <v/>
      </c>
      <c r="EB26" s="64"/>
      <c r="EC26" s="68"/>
      <c r="ED26" s="75"/>
      <c r="EE26" s="115"/>
      <c r="EF26" s="64"/>
      <c r="EG26" s="26" t="str">
        <f>IF(EF26="","",VLOOKUP(EF26,Parts_Data!$AB$2:$AC$102,2,FALSE))</f>
        <v/>
      </c>
      <c r="EH26" s="64"/>
      <c r="EI26" s="68"/>
      <c r="EJ26" s="75"/>
      <c r="EK26" s="115"/>
      <c r="EL26" s="64"/>
      <c r="EM26" s="26" t="str">
        <f>IF(EL26="","",VLOOKUP(EL26,Parts_Data!$AB$2:$AC$102,2,FALSE))</f>
        <v/>
      </c>
      <c r="EN26" s="64"/>
      <c r="EO26" s="68"/>
      <c r="EP26" s="75"/>
      <c r="EQ26" s="115"/>
      <c r="ER26" s="64"/>
      <c r="ES26" s="26" t="str">
        <f>IF(ER26="","",VLOOKUP(ER26,Parts_Data!$AB$2:$AC$102,2,FALSE))</f>
        <v/>
      </c>
      <c r="ET26" s="64"/>
      <c r="EU26" s="68"/>
      <c r="EV26" s="75"/>
      <c r="EW26" s="115"/>
    </row>
    <row r="27" spans="1:153" ht="15.6" x14ac:dyDescent="0.3">
      <c r="A27" t="str">
        <f t="shared" si="0"/>
        <v>GR700ES1</v>
      </c>
      <c r="B27" s="50">
        <v>14</v>
      </c>
      <c r="C27" s="32" t="str">
        <f t="shared" si="1"/>
        <v>GR700ES1.14</v>
      </c>
      <c r="D27" s="63"/>
      <c r="E27" s="27" t="str">
        <f>IF(D27="","",VLOOKUP(D27,Parts_Data!$AB$2:$AC$102,2,FALSE))</f>
        <v/>
      </c>
      <c r="F27" s="63"/>
      <c r="G27" s="67"/>
      <c r="H27" s="74"/>
      <c r="I27" s="114"/>
      <c r="J27" s="63"/>
      <c r="K27" s="27" t="str">
        <f>IF(J27="","",VLOOKUP(J27,Parts_Data!$AB$2:$AC$102,2,FALSE))</f>
        <v/>
      </c>
      <c r="L27" s="63"/>
      <c r="M27" s="67"/>
      <c r="N27" s="74"/>
      <c r="O27" s="114"/>
      <c r="P27" s="63"/>
      <c r="Q27" s="27" t="str">
        <f>IF(P27="","",VLOOKUP(P27,Parts_Data!$AB$2:$AC$102,2,FALSE))</f>
        <v/>
      </c>
      <c r="R27" s="63"/>
      <c r="S27" s="67"/>
      <c r="T27" s="74"/>
      <c r="U27" s="114"/>
      <c r="V27" s="63"/>
      <c r="W27" s="27" t="str">
        <f>IF(V27="","",VLOOKUP(V27,Parts_Data!$AB$2:$AC$102,2,FALSE))</f>
        <v/>
      </c>
      <c r="X27" s="63"/>
      <c r="Y27" s="67"/>
      <c r="Z27" s="74"/>
      <c r="AA27" s="114"/>
      <c r="AB27" s="63"/>
      <c r="AC27" s="27" t="str">
        <f>IF(AB27="","",VLOOKUP(AB27,Parts_Data!$AB$2:$AC$102,2,FALSE))</f>
        <v/>
      </c>
      <c r="AD27" s="63"/>
      <c r="AE27" s="67"/>
      <c r="AF27" s="74"/>
      <c r="AG27" s="114"/>
      <c r="AH27" s="63"/>
      <c r="AI27" s="27" t="str">
        <f>IF(AH27="","",VLOOKUP(AH27,Parts_Data!$AB$2:$AC$102,2,FALSE))</f>
        <v/>
      </c>
      <c r="AJ27" s="63"/>
      <c r="AK27" s="67"/>
      <c r="AL27" s="74"/>
      <c r="AM27" s="114"/>
      <c r="AN27" s="63"/>
      <c r="AO27" s="27" t="str">
        <f>IF(AN27="","",VLOOKUP(AN27,Parts_Data!$AB$2:$AC$102,2,FALSE))</f>
        <v/>
      </c>
      <c r="AP27" s="63"/>
      <c r="AQ27" s="67"/>
      <c r="AR27" s="74"/>
      <c r="AS27" s="114"/>
      <c r="AT27" s="63"/>
      <c r="AU27" s="27" t="str">
        <f>IF(AT27="","",VLOOKUP(AT27,Parts_Data!$AB$2:$AC$102,2,FALSE))</f>
        <v/>
      </c>
      <c r="AV27" s="63"/>
      <c r="AW27" s="67"/>
      <c r="AX27" s="74"/>
      <c r="AY27" s="114"/>
      <c r="AZ27" s="63"/>
      <c r="BA27" s="27" t="str">
        <f>IF(AZ27="","",VLOOKUP(AZ27,Parts_Data!$AB$2:$AC$102,2,FALSE))</f>
        <v/>
      </c>
      <c r="BB27" s="63"/>
      <c r="BC27" s="67"/>
      <c r="BD27" s="74"/>
      <c r="BE27" s="114"/>
      <c r="BF27" s="63"/>
      <c r="BG27" s="27" t="str">
        <f>IF(BF27="","",VLOOKUP(BF27,Parts_Data!$AB$2:$AC$102,2,FALSE))</f>
        <v/>
      </c>
      <c r="BH27" s="63"/>
      <c r="BI27" s="67"/>
      <c r="BJ27" s="74"/>
      <c r="BK27" s="114"/>
      <c r="BL27" s="63"/>
      <c r="BM27" s="27" t="str">
        <f>IF(BL27="","",VLOOKUP(BL27,Parts_Data!$AB$2:$AC$102,2,FALSE))</f>
        <v/>
      </c>
      <c r="BN27" s="63"/>
      <c r="BO27" s="67"/>
      <c r="BP27" s="74"/>
      <c r="BQ27" s="114"/>
      <c r="BR27" s="63"/>
      <c r="BS27" s="27" t="str">
        <f>IF(BR27="","",VLOOKUP(BR27,Parts_Data!$AB$2:$AC$102,2,FALSE))</f>
        <v/>
      </c>
      <c r="BT27" s="63"/>
      <c r="BU27" s="67"/>
      <c r="BV27" s="74"/>
      <c r="BW27" s="114"/>
      <c r="BX27" s="63"/>
      <c r="BY27" s="27" t="str">
        <f>IF(BX27="","",VLOOKUP(BX27,Parts_Data!$AB$2:$AC$102,2,FALSE))</f>
        <v/>
      </c>
      <c r="BZ27" s="63"/>
      <c r="CA27" s="67"/>
      <c r="CB27" s="74"/>
      <c r="CC27" s="114"/>
      <c r="CD27" s="63"/>
      <c r="CE27" s="27" t="str">
        <f>IF(CD27="","",VLOOKUP(CD27,Parts_Data!$AB$2:$AC$102,2,FALSE))</f>
        <v/>
      </c>
      <c r="CF27" s="63"/>
      <c r="CG27" s="67"/>
      <c r="CH27" s="74"/>
      <c r="CI27" s="114"/>
      <c r="CJ27" s="63"/>
      <c r="CK27" s="27" t="str">
        <f>IF(CJ27="","",VLOOKUP(CJ27,Parts_Data!$AB$2:$AC$102,2,FALSE))</f>
        <v/>
      </c>
      <c r="CL27" s="63"/>
      <c r="CM27" s="67"/>
      <c r="CN27" s="74"/>
      <c r="CO27" s="114"/>
      <c r="CP27" s="63"/>
      <c r="CQ27" s="27" t="str">
        <f>IF(CP27="","",VLOOKUP(CP27,Parts_Data!$AB$2:$AC$102,2,FALSE))</f>
        <v/>
      </c>
      <c r="CR27" s="63"/>
      <c r="CS27" s="67"/>
      <c r="CT27" s="74"/>
      <c r="CU27" s="114"/>
      <c r="CV27" s="63"/>
      <c r="CW27" s="27" t="str">
        <f>IF(CV27="","",VLOOKUP(CV27,Parts_Data!$AB$2:$AC$102,2,FALSE))</f>
        <v/>
      </c>
      <c r="CX27" s="63"/>
      <c r="CY27" s="67"/>
      <c r="CZ27" s="74"/>
      <c r="DA27" s="114"/>
      <c r="DB27" s="63"/>
      <c r="DC27" s="27" t="str">
        <f>IF(DB27="","",VLOOKUP(DB27,Parts_Data!$AB$2:$AC$102,2,FALSE))</f>
        <v/>
      </c>
      <c r="DD27" s="63"/>
      <c r="DE27" s="67"/>
      <c r="DF27" s="74"/>
      <c r="DG27" s="114"/>
      <c r="DH27" s="63"/>
      <c r="DI27" s="27" t="str">
        <f>IF(DH27="","",VLOOKUP(DH27,Parts_Data!$AB$2:$AC$102,2,FALSE))</f>
        <v/>
      </c>
      <c r="DJ27" s="63"/>
      <c r="DK27" s="67"/>
      <c r="DL27" s="74"/>
      <c r="DM27" s="114"/>
      <c r="DN27" s="63"/>
      <c r="DO27" s="27" t="str">
        <f>IF(DN27="","",VLOOKUP(DN27,Parts_Data!$AB$2:$AC$102,2,FALSE))</f>
        <v/>
      </c>
      <c r="DP27" s="63"/>
      <c r="DQ27" s="67"/>
      <c r="DR27" s="74"/>
      <c r="DS27" s="114"/>
      <c r="DT27" s="63"/>
      <c r="DU27" s="27" t="str">
        <f>IF(DT27="","",VLOOKUP(DT27,Parts_Data!$AB$2:$AC$102,2,FALSE))</f>
        <v/>
      </c>
      <c r="DV27" s="63"/>
      <c r="DW27" s="67"/>
      <c r="DX27" s="74"/>
      <c r="DY27" s="114"/>
      <c r="DZ27" s="63"/>
      <c r="EA27" s="27" t="str">
        <f>IF(DZ27="","",VLOOKUP(DZ27,Parts_Data!$AB$2:$AC$102,2,FALSE))</f>
        <v/>
      </c>
      <c r="EB27" s="63"/>
      <c r="EC27" s="67"/>
      <c r="ED27" s="74"/>
      <c r="EE27" s="114"/>
      <c r="EF27" s="63"/>
      <c r="EG27" s="27" t="str">
        <f>IF(EF27="","",VLOOKUP(EF27,Parts_Data!$AB$2:$AC$102,2,FALSE))</f>
        <v/>
      </c>
      <c r="EH27" s="63"/>
      <c r="EI27" s="67"/>
      <c r="EJ27" s="74"/>
      <c r="EK27" s="114"/>
      <c r="EL27" s="63"/>
      <c r="EM27" s="27" t="str">
        <f>IF(EL27="","",VLOOKUP(EL27,Parts_Data!$AB$2:$AC$102,2,FALSE))</f>
        <v/>
      </c>
      <c r="EN27" s="63"/>
      <c r="EO27" s="67"/>
      <c r="EP27" s="74"/>
      <c r="EQ27" s="114"/>
      <c r="ER27" s="63"/>
      <c r="ES27" s="27" t="str">
        <f>IF(ER27="","",VLOOKUP(ER27,Parts_Data!$AB$2:$AC$102,2,FALSE))</f>
        <v/>
      </c>
      <c r="ET27" s="63"/>
      <c r="EU27" s="67"/>
      <c r="EV27" s="74"/>
      <c r="EW27" s="114"/>
    </row>
    <row r="28" spans="1:153" ht="15.6" x14ac:dyDescent="0.3">
      <c r="A28" t="str">
        <f t="shared" si="0"/>
        <v>GR700ES1</v>
      </c>
      <c r="B28" s="50">
        <v>15</v>
      </c>
      <c r="C28" s="32" t="str">
        <f t="shared" si="1"/>
        <v>GR700ES1.15</v>
      </c>
      <c r="D28" s="64"/>
      <c r="E28" s="26" t="str">
        <f>IF(D28="","",VLOOKUP(D28,Parts_Data!$AB$2:$AC$102,2,FALSE))</f>
        <v/>
      </c>
      <c r="F28" s="64"/>
      <c r="G28" s="68"/>
      <c r="H28" s="75"/>
      <c r="I28" s="115"/>
      <c r="J28" s="64"/>
      <c r="K28" s="26" t="str">
        <f>IF(J28="","",VLOOKUP(J28,Parts_Data!$AB$2:$AC$102,2,FALSE))</f>
        <v/>
      </c>
      <c r="L28" s="64"/>
      <c r="M28" s="68"/>
      <c r="N28" s="75"/>
      <c r="O28" s="115"/>
      <c r="P28" s="64"/>
      <c r="Q28" s="26" t="str">
        <f>IF(P28="","",VLOOKUP(P28,Parts_Data!$AB$2:$AC$102,2,FALSE))</f>
        <v/>
      </c>
      <c r="R28" s="64"/>
      <c r="S28" s="68"/>
      <c r="T28" s="75"/>
      <c r="U28" s="115"/>
      <c r="V28" s="64"/>
      <c r="W28" s="26" t="str">
        <f>IF(V28="","",VLOOKUP(V28,Parts_Data!$AB$2:$AC$102,2,FALSE))</f>
        <v/>
      </c>
      <c r="X28" s="64"/>
      <c r="Y28" s="68"/>
      <c r="Z28" s="75"/>
      <c r="AA28" s="115"/>
      <c r="AB28" s="64"/>
      <c r="AC28" s="26" t="str">
        <f>IF(AB28="","",VLOOKUP(AB28,Parts_Data!$AB$2:$AC$102,2,FALSE))</f>
        <v/>
      </c>
      <c r="AD28" s="64"/>
      <c r="AE28" s="68"/>
      <c r="AF28" s="75"/>
      <c r="AG28" s="115"/>
      <c r="AH28" s="64"/>
      <c r="AI28" s="26" t="str">
        <f>IF(AH28="","",VLOOKUP(AH28,Parts_Data!$AB$2:$AC$102,2,FALSE))</f>
        <v/>
      </c>
      <c r="AJ28" s="64"/>
      <c r="AK28" s="68"/>
      <c r="AL28" s="75"/>
      <c r="AM28" s="115"/>
      <c r="AN28" s="64"/>
      <c r="AO28" s="26" t="str">
        <f>IF(AN28="","",VLOOKUP(AN28,Parts_Data!$AB$2:$AC$102,2,FALSE))</f>
        <v/>
      </c>
      <c r="AP28" s="64"/>
      <c r="AQ28" s="68"/>
      <c r="AR28" s="75"/>
      <c r="AS28" s="115"/>
      <c r="AT28" s="64"/>
      <c r="AU28" s="26" t="str">
        <f>IF(AT28="","",VLOOKUP(AT28,Parts_Data!$AB$2:$AC$102,2,FALSE))</f>
        <v/>
      </c>
      <c r="AV28" s="64"/>
      <c r="AW28" s="68"/>
      <c r="AX28" s="75"/>
      <c r="AY28" s="115"/>
      <c r="AZ28" s="64"/>
      <c r="BA28" s="26" t="str">
        <f>IF(AZ28="","",VLOOKUP(AZ28,Parts_Data!$AB$2:$AC$102,2,FALSE))</f>
        <v/>
      </c>
      <c r="BB28" s="64"/>
      <c r="BC28" s="68"/>
      <c r="BD28" s="75"/>
      <c r="BE28" s="115"/>
      <c r="BF28" s="64"/>
      <c r="BG28" s="26" t="str">
        <f>IF(BF28="","",VLOOKUP(BF28,Parts_Data!$AB$2:$AC$102,2,FALSE))</f>
        <v/>
      </c>
      <c r="BH28" s="64"/>
      <c r="BI28" s="68"/>
      <c r="BJ28" s="75"/>
      <c r="BK28" s="115"/>
      <c r="BL28" s="64"/>
      <c r="BM28" s="26" t="str">
        <f>IF(BL28="","",VLOOKUP(BL28,Parts_Data!$AB$2:$AC$102,2,FALSE))</f>
        <v/>
      </c>
      <c r="BN28" s="64"/>
      <c r="BO28" s="68"/>
      <c r="BP28" s="75"/>
      <c r="BQ28" s="115"/>
      <c r="BR28" s="64"/>
      <c r="BS28" s="26" t="str">
        <f>IF(BR28="","",VLOOKUP(BR28,Parts_Data!$AB$2:$AC$102,2,FALSE))</f>
        <v/>
      </c>
      <c r="BT28" s="64"/>
      <c r="BU28" s="68"/>
      <c r="BV28" s="75"/>
      <c r="BW28" s="115"/>
      <c r="BX28" s="64"/>
      <c r="BY28" s="26" t="str">
        <f>IF(BX28="","",VLOOKUP(BX28,Parts_Data!$AB$2:$AC$102,2,FALSE))</f>
        <v/>
      </c>
      <c r="BZ28" s="64"/>
      <c r="CA28" s="68"/>
      <c r="CB28" s="75"/>
      <c r="CC28" s="115"/>
      <c r="CD28" s="64"/>
      <c r="CE28" s="26" t="str">
        <f>IF(CD28="","",VLOOKUP(CD28,Parts_Data!$AB$2:$AC$102,2,FALSE))</f>
        <v/>
      </c>
      <c r="CF28" s="64"/>
      <c r="CG28" s="68"/>
      <c r="CH28" s="75"/>
      <c r="CI28" s="115"/>
      <c r="CJ28" s="64"/>
      <c r="CK28" s="26" t="str">
        <f>IF(CJ28="","",VLOOKUP(CJ28,Parts_Data!$AB$2:$AC$102,2,FALSE))</f>
        <v/>
      </c>
      <c r="CL28" s="64"/>
      <c r="CM28" s="68"/>
      <c r="CN28" s="75"/>
      <c r="CO28" s="115"/>
      <c r="CP28" s="64"/>
      <c r="CQ28" s="26" t="str">
        <f>IF(CP28="","",VLOOKUP(CP28,Parts_Data!$AB$2:$AC$102,2,FALSE))</f>
        <v/>
      </c>
      <c r="CR28" s="64"/>
      <c r="CS28" s="68"/>
      <c r="CT28" s="75"/>
      <c r="CU28" s="115"/>
      <c r="CV28" s="64"/>
      <c r="CW28" s="26" t="str">
        <f>IF(CV28="","",VLOOKUP(CV28,Parts_Data!$AB$2:$AC$102,2,FALSE))</f>
        <v/>
      </c>
      <c r="CX28" s="64"/>
      <c r="CY28" s="68"/>
      <c r="CZ28" s="75"/>
      <c r="DA28" s="115"/>
      <c r="DB28" s="64"/>
      <c r="DC28" s="26" t="str">
        <f>IF(DB28="","",VLOOKUP(DB28,Parts_Data!$AB$2:$AC$102,2,FALSE))</f>
        <v/>
      </c>
      <c r="DD28" s="64"/>
      <c r="DE28" s="68"/>
      <c r="DF28" s="75"/>
      <c r="DG28" s="115"/>
      <c r="DH28" s="64"/>
      <c r="DI28" s="26" t="str">
        <f>IF(DH28="","",VLOOKUP(DH28,Parts_Data!$AB$2:$AC$102,2,FALSE))</f>
        <v/>
      </c>
      <c r="DJ28" s="64"/>
      <c r="DK28" s="68"/>
      <c r="DL28" s="75"/>
      <c r="DM28" s="115"/>
      <c r="DN28" s="64"/>
      <c r="DO28" s="26" t="str">
        <f>IF(DN28="","",VLOOKUP(DN28,Parts_Data!$AB$2:$AC$102,2,FALSE))</f>
        <v/>
      </c>
      <c r="DP28" s="64"/>
      <c r="DQ28" s="68"/>
      <c r="DR28" s="75"/>
      <c r="DS28" s="115"/>
      <c r="DT28" s="64"/>
      <c r="DU28" s="26" t="str">
        <f>IF(DT28="","",VLOOKUP(DT28,Parts_Data!$AB$2:$AC$102,2,FALSE))</f>
        <v/>
      </c>
      <c r="DV28" s="64"/>
      <c r="DW28" s="68"/>
      <c r="DX28" s="75"/>
      <c r="DY28" s="115"/>
      <c r="DZ28" s="64"/>
      <c r="EA28" s="26" t="str">
        <f>IF(DZ28="","",VLOOKUP(DZ28,Parts_Data!$AB$2:$AC$102,2,FALSE))</f>
        <v/>
      </c>
      <c r="EB28" s="64"/>
      <c r="EC28" s="68"/>
      <c r="ED28" s="75"/>
      <c r="EE28" s="115"/>
      <c r="EF28" s="64"/>
      <c r="EG28" s="26" t="str">
        <f>IF(EF28="","",VLOOKUP(EF28,Parts_Data!$AB$2:$AC$102,2,FALSE))</f>
        <v/>
      </c>
      <c r="EH28" s="64"/>
      <c r="EI28" s="68"/>
      <c r="EJ28" s="75"/>
      <c r="EK28" s="115"/>
      <c r="EL28" s="64"/>
      <c r="EM28" s="26" t="str">
        <f>IF(EL28="","",VLOOKUP(EL28,Parts_Data!$AB$2:$AC$102,2,FALSE))</f>
        <v/>
      </c>
      <c r="EN28" s="64"/>
      <c r="EO28" s="68"/>
      <c r="EP28" s="75"/>
      <c r="EQ28" s="115"/>
      <c r="ER28" s="64"/>
      <c r="ES28" s="26" t="str">
        <f>IF(ER28="","",VLOOKUP(ER28,Parts_Data!$AB$2:$AC$102,2,FALSE))</f>
        <v/>
      </c>
      <c r="ET28" s="64"/>
      <c r="EU28" s="68"/>
      <c r="EV28" s="75"/>
      <c r="EW28" s="115"/>
    </row>
    <row r="29" spans="1:153" ht="15.6" x14ac:dyDescent="0.3">
      <c r="A29" t="str">
        <f t="shared" si="0"/>
        <v>GR700ES1</v>
      </c>
      <c r="B29" s="50">
        <v>16</v>
      </c>
      <c r="C29" s="32" t="str">
        <f t="shared" si="1"/>
        <v>GR700ES1.16</v>
      </c>
      <c r="D29" s="63"/>
      <c r="E29" s="27" t="str">
        <f>IF(D29="","",VLOOKUP(D29,Parts_Data!$AB$2:$AC$102,2,FALSE))</f>
        <v/>
      </c>
      <c r="F29" s="63"/>
      <c r="G29" s="67"/>
      <c r="H29" s="74"/>
      <c r="I29" s="114"/>
      <c r="J29" s="63"/>
      <c r="K29" s="27" t="str">
        <f>IF(J29="","",VLOOKUP(J29,Parts_Data!$AB$2:$AC$102,2,FALSE))</f>
        <v/>
      </c>
      <c r="L29" s="63"/>
      <c r="M29" s="67"/>
      <c r="N29" s="74"/>
      <c r="O29" s="114"/>
      <c r="P29" s="63"/>
      <c r="Q29" s="27" t="str">
        <f>IF(P29="","",VLOOKUP(P29,Parts_Data!$AB$2:$AC$102,2,FALSE))</f>
        <v/>
      </c>
      <c r="R29" s="63"/>
      <c r="S29" s="67"/>
      <c r="T29" s="74"/>
      <c r="U29" s="114"/>
      <c r="V29" s="63"/>
      <c r="W29" s="27" t="str">
        <f>IF(V29="","",VLOOKUP(V29,Parts_Data!$AB$2:$AC$102,2,FALSE))</f>
        <v/>
      </c>
      <c r="X29" s="63"/>
      <c r="Y29" s="67"/>
      <c r="Z29" s="74"/>
      <c r="AA29" s="114"/>
      <c r="AB29" s="63"/>
      <c r="AC29" s="27" t="str">
        <f>IF(AB29="","",VLOOKUP(AB29,Parts_Data!$AB$2:$AC$102,2,FALSE))</f>
        <v/>
      </c>
      <c r="AD29" s="63"/>
      <c r="AE29" s="67"/>
      <c r="AF29" s="74"/>
      <c r="AG29" s="114"/>
      <c r="AH29" s="63"/>
      <c r="AI29" s="27" t="str">
        <f>IF(AH29="","",VLOOKUP(AH29,Parts_Data!$AB$2:$AC$102,2,FALSE))</f>
        <v/>
      </c>
      <c r="AJ29" s="63"/>
      <c r="AK29" s="67"/>
      <c r="AL29" s="74"/>
      <c r="AM29" s="114"/>
      <c r="AN29" s="63"/>
      <c r="AO29" s="27" t="str">
        <f>IF(AN29="","",VLOOKUP(AN29,Parts_Data!$AB$2:$AC$102,2,FALSE))</f>
        <v/>
      </c>
      <c r="AP29" s="63"/>
      <c r="AQ29" s="67"/>
      <c r="AR29" s="74"/>
      <c r="AS29" s="114"/>
      <c r="AT29" s="63"/>
      <c r="AU29" s="27" t="str">
        <f>IF(AT29="","",VLOOKUP(AT29,Parts_Data!$AB$2:$AC$102,2,FALSE))</f>
        <v/>
      </c>
      <c r="AV29" s="63"/>
      <c r="AW29" s="67"/>
      <c r="AX29" s="74"/>
      <c r="AY29" s="114"/>
      <c r="AZ29" s="63"/>
      <c r="BA29" s="27" t="str">
        <f>IF(AZ29="","",VLOOKUP(AZ29,Parts_Data!$AB$2:$AC$102,2,FALSE))</f>
        <v/>
      </c>
      <c r="BB29" s="63"/>
      <c r="BC29" s="67"/>
      <c r="BD29" s="74"/>
      <c r="BE29" s="114"/>
      <c r="BF29" s="63"/>
      <c r="BG29" s="27" t="str">
        <f>IF(BF29="","",VLOOKUP(BF29,Parts_Data!$AB$2:$AC$102,2,FALSE))</f>
        <v/>
      </c>
      <c r="BH29" s="63"/>
      <c r="BI29" s="67"/>
      <c r="BJ29" s="74"/>
      <c r="BK29" s="114"/>
      <c r="BL29" s="63"/>
      <c r="BM29" s="27" t="str">
        <f>IF(BL29="","",VLOOKUP(BL29,Parts_Data!$AB$2:$AC$102,2,FALSE))</f>
        <v/>
      </c>
      <c r="BN29" s="63"/>
      <c r="BO29" s="67"/>
      <c r="BP29" s="74"/>
      <c r="BQ29" s="114"/>
      <c r="BR29" s="63"/>
      <c r="BS29" s="27" t="str">
        <f>IF(BR29="","",VLOOKUP(BR29,Parts_Data!$AB$2:$AC$102,2,FALSE))</f>
        <v/>
      </c>
      <c r="BT29" s="63"/>
      <c r="BU29" s="67"/>
      <c r="BV29" s="74"/>
      <c r="BW29" s="114"/>
      <c r="BX29" s="63"/>
      <c r="BY29" s="27" t="str">
        <f>IF(BX29="","",VLOOKUP(BX29,Parts_Data!$AB$2:$AC$102,2,FALSE))</f>
        <v/>
      </c>
      <c r="BZ29" s="63"/>
      <c r="CA29" s="67"/>
      <c r="CB29" s="74"/>
      <c r="CC29" s="114"/>
      <c r="CD29" s="63"/>
      <c r="CE29" s="27" t="str">
        <f>IF(CD29="","",VLOOKUP(CD29,Parts_Data!$AB$2:$AC$102,2,FALSE))</f>
        <v/>
      </c>
      <c r="CF29" s="63"/>
      <c r="CG29" s="67"/>
      <c r="CH29" s="74"/>
      <c r="CI29" s="114"/>
      <c r="CJ29" s="63"/>
      <c r="CK29" s="27" t="str">
        <f>IF(CJ29="","",VLOOKUP(CJ29,Parts_Data!$AB$2:$AC$102,2,FALSE))</f>
        <v/>
      </c>
      <c r="CL29" s="63"/>
      <c r="CM29" s="67"/>
      <c r="CN29" s="74"/>
      <c r="CO29" s="114"/>
      <c r="CP29" s="63"/>
      <c r="CQ29" s="27" t="str">
        <f>IF(CP29="","",VLOOKUP(CP29,Parts_Data!$AB$2:$AC$102,2,FALSE))</f>
        <v/>
      </c>
      <c r="CR29" s="63"/>
      <c r="CS29" s="67"/>
      <c r="CT29" s="74"/>
      <c r="CU29" s="114"/>
      <c r="CV29" s="63"/>
      <c r="CW29" s="27" t="str">
        <f>IF(CV29="","",VLOOKUP(CV29,Parts_Data!$AB$2:$AC$102,2,FALSE))</f>
        <v/>
      </c>
      <c r="CX29" s="63"/>
      <c r="CY29" s="67"/>
      <c r="CZ29" s="74"/>
      <c r="DA29" s="114"/>
      <c r="DB29" s="63"/>
      <c r="DC29" s="27" t="str">
        <f>IF(DB29="","",VLOOKUP(DB29,Parts_Data!$AB$2:$AC$102,2,FALSE))</f>
        <v/>
      </c>
      <c r="DD29" s="63"/>
      <c r="DE29" s="67"/>
      <c r="DF29" s="74"/>
      <c r="DG29" s="114"/>
      <c r="DH29" s="63"/>
      <c r="DI29" s="27" t="str">
        <f>IF(DH29="","",VLOOKUP(DH29,Parts_Data!$AB$2:$AC$102,2,FALSE))</f>
        <v/>
      </c>
      <c r="DJ29" s="63"/>
      <c r="DK29" s="67"/>
      <c r="DL29" s="74"/>
      <c r="DM29" s="114"/>
      <c r="DN29" s="63"/>
      <c r="DO29" s="27" t="str">
        <f>IF(DN29="","",VLOOKUP(DN29,Parts_Data!$AB$2:$AC$102,2,FALSE))</f>
        <v/>
      </c>
      <c r="DP29" s="63"/>
      <c r="DQ29" s="67"/>
      <c r="DR29" s="74"/>
      <c r="DS29" s="114"/>
      <c r="DT29" s="63"/>
      <c r="DU29" s="27" t="str">
        <f>IF(DT29="","",VLOOKUP(DT29,Parts_Data!$AB$2:$AC$102,2,FALSE))</f>
        <v/>
      </c>
      <c r="DV29" s="63"/>
      <c r="DW29" s="67"/>
      <c r="DX29" s="74"/>
      <c r="DY29" s="114"/>
      <c r="DZ29" s="63"/>
      <c r="EA29" s="27" t="str">
        <f>IF(DZ29="","",VLOOKUP(DZ29,Parts_Data!$AB$2:$AC$102,2,FALSE))</f>
        <v/>
      </c>
      <c r="EB29" s="63"/>
      <c r="EC29" s="67"/>
      <c r="ED29" s="74"/>
      <c r="EE29" s="114"/>
      <c r="EF29" s="63"/>
      <c r="EG29" s="27" t="str">
        <f>IF(EF29="","",VLOOKUP(EF29,Parts_Data!$AB$2:$AC$102,2,FALSE))</f>
        <v/>
      </c>
      <c r="EH29" s="63"/>
      <c r="EI29" s="67"/>
      <c r="EJ29" s="74"/>
      <c r="EK29" s="114"/>
      <c r="EL29" s="63"/>
      <c r="EM29" s="27" t="str">
        <f>IF(EL29="","",VLOOKUP(EL29,Parts_Data!$AB$2:$AC$102,2,FALSE))</f>
        <v/>
      </c>
      <c r="EN29" s="63"/>
      <c r="EO29" s="67"/>
      <c r="EP29" s="74"/>
      <c r="EQ29" s="114"/>
      <c r="ER29" s="63"/>
      <c r="ES29" s="27" t="str">
        <f>IF(ER29="","",VLOOKUP(ER29,Parts_Data!$AB$2:$AC$102,2,FALSE))</f>
        <v/>
      </c>
      <c r="ET29" s="63"/>
      <c r="EU29" s="67"/>
      <c r="EV29" s="74"/>
      <c r="EW29" s="114"/>
    </row>
    <row r="30" spans="1:153" ht="15.6" x14ac:dyDescent="0.3">
      <c r="A30" t="str">
        <f t="shared" si="0"/>
        <v>GR700ES1</v>
      </c>
      <c r="B30" s="50">
        <v>17</v>
      </c>
      <c r="C30" s="32" t="str">
        <f t="shared" si="1"/>
        <v/>
      </c>
      <c r="D30" s="64"/>
      <c r="E30" s="26" t="str">
        <f>IF(D30="","",VLOOKUP(D30,Parts_Data!$AB$2:$AC$102,2,FALSE))</f>
        <v/>
      </c>
      <c r="F30" s="64"/>
      <c r="G30" s="68"/>
      <c r="H30" s="75"/>
      <c r="I30" s="115"/>
      <c r="J30" s="64"/>
      <c r="K30" s="26" t="str">
        <f>IF(J30="","",VLOOKUP(J30,Parts_Data!$AB$2:$AC$102,2,FALSE))</f>
        <v/>
      </c>
      <c r="L30" s="64"/>
      <c r="M30" s="68"/>
      <c r="N30" s="75"/>
      <c r="O30" s="115"/>
      <c r="P30" s="64"/>
      <c r="Q30" s="26" t="str">
        <f>IF(P30="","",VLOOKUP(P30,Parts_Data!$AB$2:$AC$102,2,FALSE))</f>
        <v/>
      </c>
      <c r="R30" s="64"/>
      <c r="S30" s="68"/>
      <c r="T30" s="75"/>
      <c r="U30" s="115"/>
      <c r="V30" s="64"/>
      <c r="W30" s="26" t="str">
        <f>IF(V30="","",VLOOKUP(V30,Parts_Data!$AB$2:$AC$102,2,FALSE))</f>
        <v/>
      </c>
      <c r="X30" s="64"/>
      <c r="Y30" s="68"/>
      <c r="Z30" s="75"/>
      <c r="AA30" s="115"/>
      <c r="AB30" s="64"/>
      <c r="AC30" s="26" t="str">
        <f>IF(AB30="","",VLOOKUP(AB30,Parts_Data!$AB$2:$AC$102,2,FALSE))</f>
        <v/>
      </c>
      <c r="AD30" s="64"/>
      <c r="AE30" s="68"/>
      <c r="AF30" s="75"/>
      <c r="AG30" s="115"/>
      <c r="AH30" s="64"/>
      <c r="AI30" s="26" t="str">
        <f>IF(AH30="","",VLOOKUP(AH30,Parts_Data!$AB$2:$AC$102,2,FALSE))</f>
        <v/>
      </c>
      <c r="AJ30" s="64"/>
      <c r="AK30" s="68"/>
      <c r="AL30" s="75"/>
      <c r="AM30" s="115"/>
      <c r="AN30" s="64"/>
      <c r="AO30" s="26" t="str">
        <f>IF(AN30="","",VLOOKUP(AN30,Parts_Data!$AB$2:$AC$102,2,FALSE))</f>
        <v/>
      </c>
      <c r="AP30" s="64"/>
      <c r="AQ30" s="68"/>
      <c r="AR30" s="75"/>
      <c r="AS30" s="115"/>
      <c r="AT30" s="64"/>
      <c r="AU30" s="26" t="str">
        <f>IF(AT30="","",VLOOKUP(AT30,Parts_Data!$AB$2:$AC$102,2,FALSE))</f>
        <v/>
      </c>
      <c r="AV30" s="64"/>
      <c r="AW30" s="68"/>
      <c r="AX30" s="75"/>
      <c r="AY30" s="115"/>
      <c r="AZ30" s="64"/>
      <c r="BA30" s="26" t="str">
        <f>IF(AZ30="","",VLOOKUP(AZ30,Parts_Data!$AB$2:$AC$102,2,FALSE))</f>
        <v/>
      </c>
      <c r="BB30" s="64"/>
      <c r="BC30" s="68"/>
      <c r="BD30" s="75"/>
      <c r="BE30" s="115"/>
      <c r="BF30" s="64"/>
      <c r="BG30" s="26" t="str">
        <f>IF(BF30="","",VLOOKUP(BF30,Parts_Data!$AB$2:$AC$102,2,FALSE))</f>
        <v/>
      </c>
      <c r="BH30" s="64"/>
      <c r="BI30" s="68"/>
      <c r="BJ30" s="75"/>
      <c r="BK30" s="115"/>
      <c r="BL30" s="64"/>
      <c r="BM30" s="26" t="str">
        <f>IF(BL30="","",VLOOKUP(BL30,Parts_Data!$AB$2:$AC$102,2,FALSE))</f>
        <v/>
      </c>
      <c r="BN30" s="64"/>
      <c r="BO30" s="68"/>
      <c r="BP30" s="75"/>
      <c r="BQ30" s="115"/>
      <c r="BR30" s="64"/>
      <c r="BS30" s="26" t="str">
        <f>IF(BR30="","",VLOOKUP(BR30,Parts_Data!$AB$2:$AC$102,2,FALSE))</f>
        <v/>
      </c>
      <c r="BT30" s="64"/>
      <c r="BU30" s="68"/>
      <c r="BV30" s="75"/>
      <c r="BW30" s="115"/>
      <c r="BX30" s="64"/>
      <c r="BY30" s="26" t="str">
        <f>IF(BX30="","",VLOOKUP(BX30,Parts_Data!$AB$2:$AC$102,2,FALSE))</f>
        <v/>
      </c>
      <c r="BZ30" s="64"/>
      <c r="CA30" s="68"/>
      <c r="CB30" s="75"/>
      <c r="CC30" s="115"/>
      <c r="CD30" s="64"/>
      <c r="CE30" s="26" t="str">
        <f>IF(CD30="","",VLOOKUP(CD30,Parts_Data!$AB$2:$AC$102,2,FALSE))</f>
        <v/>
      </c>
      <c r="CF30" s="64"/>
      <c r="CG30" s="68"/>
      <c r="CH30" s="75"/>
      <c r="CI30" s="115"/>
      <c r="CJ30" s="64"/>
      <c r="CK30" s="26" t="str">
        <f>IF(CJ30="","",VLOOKUP(CJ30,Parts_Data!$AB$2:$AC$102,2,FALSE))</f>
        <v/>
      </c>
      <c r="CL30" s="64"/>
      <c r="CM30" s="68"/>
      <c r="CN30" s="75"/>
      <c r="CO30" s="115"/>
      <c r="CP30" s="64"/>
      <c r="CQ30" s="26" t="str">
        <f>IF(CP30="","",VLOOKUP(CP30,Parts_Data!$AB$2:$AC$102,2,FALSE))</f>
        <v/>
      </c>
      <c r="CR30" s="64"/>
      <c r="CS30" s="68"/>
      <c r="CT30" s="75"/>
      <c r="CU30" s="115"/>
      <c r="CV30" s="64"/>
      <c r="CW30" s="26" t="str">
        <f>IF(CV30="","",VLOOKUP(CV30,Parts_Data!$AB$2:$AC$102,2,FALSE))</f>
        <v/>
      </c>
      <c r="CX30" s="64"/>
      <c r="CY30" s="68"/>
      <c r="CZ30" s="75"/>
      <c r="DA30" s="115"/>
      <c r="DB30" s="64"/>
      <c r="DC30" s="26" t="str">
        <f>IF(DB30="","",VLOOKUP(DB30,Parts_Data!$AB$2:$AC$102,2,FALSE))</f>
        <v/>
      </c>
      <c r="DD30" s="64"/>
      <c r="DE30" s="68"/>
      <c r="DF30" s="75"/>
      <c r="DG30" s="115"/>
      <c r="DH30" s="64"/>
      <c r="DI30" s="26" t="str">
        <f>IF(DH30="","",VLOOKUP(DH30,Parts_Data!$AB$2:$AC$102,2,FALSE))</f>
        <v/>
      </c>
      <c r="DJ30" s="64"/>
      <c r="DK30" s="68"/>
      <c r="DL30" s="75"/>
      <c r="DM30" s="115"/>
      <c r="DN30" s="64"/>
      <c r="DO30" s="26" t="str">
        <f>IF(DN30="","",VLOOKUP(DN30,Parts_Data!$AB$2:$AC$102,2,FALSE))</f>
        <v/>
      </c>
      <c r="DP30" s="64"/>
      <c r="DQ30" s="68"/>
      <c r="DR30" s="75"/>
      <c r="DS30" s="115"/>
      <c r="DT30" s="64"/>
      <c r="DU30" s="26" t="str">
        <f>IF(DT30="","",VLOOKUP(DT30,Parts_Data!$AB$2:$AC$102,2,FALSE))</f>
        <v/>
      </c>
      <c r="DV30" s="64"/>
      <c r="DW30" s="68"/>
      <c r="DX30" s="75"/>
      <c r="DY30" s="115"/>
      <c r="DZ30" s="64"/>
      <c r="EA30" s="26" t="str">
        <f>IF(DZ30="","",VLOOKUP(DZ30,Parts_Data!$AB$2:$AC$102,2,FALSE))</f>
        <v/>
      </c>
      <c r="EB30" s="64"/>
      <c r="EC30" s="68"/>
      <c r="ED30" s="75"/>
      <c r="EE30" s="115"/>
      <c r="EF30" s="64"/>
      <c r="EG30" s="26" t="str">
        <f>IF(EF30="","",VLOOKUP(EF30,Parts_Data!$AB$2:$AC$102,2,FALSE))</f>
        <v/>
      </c>
      <c r="EH30" s="64"/>
      <c r="EI30" s="68"/>
      <c r="EJ30" s="75"/>
      <c r="EK30" s="115"/>
      <c r="EL30" s="64"/>
      <c r="EM30" s="26" t="str">
        <f>IF(EL30="","",VLOOKUP(EL30,Parts_Data!$AB$2:$AC$102,2,FALSE))</f>
        <v/>
      </c>
      <c r="EN30" s="64"/>
      <c r="EO30" s="68"/>
      <c r="EP30" s="75"/>
      <c r="EQ30" s="115"/>
      <c r="ER30" s="64"/>
      <c r="ES30" s="26" t="str">
        <f>IF(ER30="","",VLOOKUP(ER30,Parts_Data!$AB$2:$AC$102,2,FALSE))</f>
        <v/>
      </c>
      <c r="ET30" s="64"/>
      <c r="EU30" s="68"/>
      <c r="EV30" s="75"/>
      <c r="EW30" s="115"/>
    </row>
    <row r="31" spans="1:153" ht="15.6" x14ac:dyDescent="0.3">
      <c r="A31" t="str">
        <f t="shared" si="0"/>
        <v>GR700ES1</v>
      </c>
      <c r="B31" s="50">
        <v>18</v>
      </c>
      <c r="C31" s="32" t="str">
        <f t="shared" si="1"/>
        <v/>
      </c>
      <c r="D31" s="63"/>
      <c r="E31" s="27" t="str">
        <f>IF(D31="","",VLOOKUP(D31,Parts_Data!$AB$2:$AC$102,2,FALSE))</f>
        <v/>
      </c>
      <c r="F31" s="63"/>
      <c r="G31" s="67"/>
      <c r="H31" s="74"/>
      <c r="I31" s="114"/>
      <c r="J31" s="63"/>
      <c r="K31" s="27" t="str">
        <f>IF(J31="","",VLOOKUP(J31,Parts_Data!$AB$2:$AC$102,2,FALSE))</f>
        <v/>
      </c>
      <c r="L31" s="63"/>
      <c r="M31" s="67"/>
      <c r="N31" s="74"/>
      <c r="O31" s="114"/>
      <c r="P31" s="63"/>
      <c r="Q31" s="27" t="str">
        <f>IF(P31="","",VLOOKUP(P31,Parts_Data!$AB$2:$AC$102,2,FALSE))</f>
        <v/>
      </c>
      <c r="R31" s="63"/>
      <c r="S31" s="67"/>
      <c r="T31" s="74"/>
      <c r="U31" s="114"/>
      <c r="V31" s="63"/>
      <c r="W31" s="27" t="str">
        <f>IF(V31="","",VLOOKUP(V31,Parts_Data!$AB$2:$AC$102,2,FALSE))</f>
        <v/>
      </c>
      <c r="X31" s="63"/>
      <c r="Y31" s="67"/>
      <c r="Z31" s="74"/>
      <c r="AA31" s="114"/>
      <c r="AB31" s="63"/>
      <c r="AC31" s="27" t="str">
        <f>IF(AB31="","",VLOOKUP(AB31,Parts_Data!$AB$2:$AC$102,2,FALSE))</f>
        <v/>
      </c>
      <c r="AD31" s="63"/>
      <c r="AE31" s="67"/>
      <c r="AF31" s="74"/>
      <c r="AG31" s="114"/>
      <c r="AH31" s="63"/>
      <c r="AI31" s="27" t="str">
        <f>IF(AH31="","",VLOOKUP(AH31,Parts_Data!$AB$2:$AC$102,2,FALSE))</f>
        <v/>
      </c>
      <c r="AJ31" s="63"/>
      <c r="AK31" s="67"/>
      <c r="AL31" s="74"/>
      <c r="AM31" s="114"/>
      <c r="AN31" s="63"/>
      <c r="AO31" s="27" t="str">
        <f>IF(AN31="","",VLOOKUP(AN31,Parts_Data!$AB$2:$AC$102,2,FALSE))</f>
        <v/>
      </c>
      <c r="AP31" s="63"/>
      <c r="AQ31" s="67"/>
      <c r="AR31" s="74"/>
      <c r="AS31" s="114"/>
      <c r="AT31" s="63"/>
      <c r="AU31" s="27" t="str">
        <f>IF(AT31="","",VLOOKUP(AT31,Parts_Data!$AB$2:$AC$102,2,FALSE))</f>
        <v/>
      </c>
      <c r="AV31" s="63"/>
      <c r="AW31" s="67"/>
      <c r="AX31" s="74"/>
      <c r="AY31" s="114"/>
      <c r="AZ31" s="63"/>
      <c r="BA31" s="27" t="str">
        <f>IF(AZ31="","",VLOOKUP(AZ31,Parts_Data!$AB$2:$AC$102,2,FALSE))</f>
        <v/>
      </c>
      <c r="BB31" s="63"/>
      <c r="BC31" s="67"/>
      <c r="BD31" s="74"/>
      <c r="BE31" s="114"/>
      <c r="BF31" s="63"/>
      <c r="BG31" s="27" t="str">
        <f>IF(BF31="","",VLOOKUP(BF31,Parts_Data!$AB$2:$AC$102,2,FALSE))</f>
        <v/>
      </c>
      <c r="BH31" s="63"/>
      <c r="BI31" s="67"/>
      <c r="BJ31" s="74"/>
      <c r="BK31" s="114"/>
      <c r="BL31" s="63"/>
      <c r="BM31" s="27" t="str">
        <f>IF(BL31="","",VLOOKUP(BL31,Parts_Data!$AB$2:$AC$102,2,FALSE))</f>
        <v/>
      </c>
      <c r="BN31" s="63"/>
      <c r="BO31" s="67"/>
      <c r="BP31" s="74"/>
      <c r="BQ31" s="114"/>
      <c r="BR31" s="63"/>
      <c r="BS31" s="27" t="str">
        <f>IF(BR31="","",VLOOKUP(BR31,Parts_Data!$AB$2:$AC$102,2,FALSE))</f>
        <v/>
      </c>
      <c r="BT31" s="63"/>
      <c r="BU31" s="67"/>
      <c r="BV31" s="74"/>
      <c r="BW31" s="114"/>
      <c r="BX31" s="63"/>
      <c r="BY31" s="27" t="str">
        <f>IF(BX31="","",VLOOKUP(BX31,Parts_Data!$AB$2:$AC$102,2,FALSE))</f>
        <v/>
      </c>
      <c r="BZ31" s="63"/>
      <c r="CA31" s="67"/>
      <c r="CB31" s="74"/>
      <c r="CC31" s="114"/>
      <c r="CD31" s="63"/>
      <c r="CE31" s="27" t="str">
        <f>IF(CD31="","",VLOOKUP(CD31,Parts_Data!$AB$2:$AC$102,2,FALSE))</f>
        <v/>
      </c>
      <c r="CF31" s="63"/>
      <c r="CG31" s="67"/>
      <c r="CH31" s="74"/>
      <c r="CI31" s="114"/>
      <c r="CJ31" s="63"/>
      <c r="CK31" s="27" t="str">
        <f>IF(CJ31="","",VLOOKUP(CJ31,Parts_Data!$AB$2:$AC$102,2,FALSE))</f>
        <v/>
      </c>
      <c r="CL31" s="63"/>
      <c r="CM31" s="67"/>
      <c r="CN31" s="74"/>
      <c r="CO31" s="114"/>
      <c r="CP31" s="63"/>
      <c r="CQ31" s="27" t="str">
        <f>IF(CP31="","",VLOOKUP(CP31,Parts_Data!$AB$2:$AC$102,2,FALSE))</f>
        <v/>
      </c>
      <c r="CR31" s="63"/>
      <c r="CS31" s="67"/>
      <c r="CT31" s="74"/>
      <c r="CU31" s="114"/>
      <c r="CV31" s="63"/>
      <c r="CW31" s="27" t="str">
        <f>IF(CV31="","",VLOOKUP(CV31,Parts_Data!$AB$2:$AC$102,2,FALSE))</f>
        <v/>
      </c>
      <c r="CX31" s="63"/>
      <c r="CY31" s="67"/>
      <c r="CZ31" s="74"/>
      <c r="DA31" s="114"/>
      <c r="DB31" s="63"/>
      <c r="DC31" s="27" t="str">
        <f>IF(DB31="","",VLOOKUP(DB31,Parts_Data!$AB$2:$AC$102,2,FALSE))</f>
        <v/>
      </c>
      <c r="DD31" s="63"/>
      <c r="DE31" s="67"/>
      <c r="DF31" s="74"/>
      <c r="DG31" s="114"/>
      <c r="DH31" s="63"/>
      <c r="DI31" s="27" t="str">
        <f>IF(DH31="","",VLOOKUP(DH31,Parts_Data!$AB$2:$AC$102,2,FALSE))</f>
        <v/>
      </c>
      <c r="DJ31" s="63"/>
      <c r="DK31" s="67"/>
      <c r="DL31" s="74"/>
      <c r="DM31" s="114"/>
      <c r="DN31" s="63"/>
      <c r="DO31" s="27" t="str">
        <f>IF(DN31="","",VLOOKUP(DN31,Parts_Data!$AB$2:$AC$102,2,FALSE))</f>
        <v/>
      </c>
      <c r="DP31" s="63"/>
      <c r="DQ31" s="67"/>
      <c r="DR31" s="74"/>
      <c r="DS31" s="114"/>
      <c r="DT31" s="63"/>
      <c r="DU31" s="27" t="str">
        <f>IF(DT31="","",VLOOKUP(DT31,Parts_Data!$AB$2:$AC$102,2,FALSE))</f>
        <v/>
      </c>
      <c r="DV31" s="63"/>
      <c r="DW31" s="67"/>
      <c r="DX31" s="74"/>
      <c r="DY31" s="114"/>
      <c r="DZ31" s="63"/>
      <c r="EA31" s="27" t="str">
        <f>IF(DZ31="","",VLOOKUP(DZ31,Parts_Data!$AB$2:$AC$102,2,FALSE))</f>
        <v/>
      </c>
      <c r="EB31" s="63"/>
      <c r="EC31" s="67"/>
      <c r="ED31" s="74"/>
      <c r="EE31" s="114"/>
      <c r="EF31" s="63"/>
      <c r="EG31" s="27" t="str">
        <f>IF(EF31="","",VLOOKUP(EF31,Parts_Data!$AB$2:$AC$102,2,FALSE))</f>
        <v/>
      </c>
      <c r="EH31" s="63"/>
      <c r="EI31" s="67"/>
      <c r="EJ31" s="74"/>
      <c r="EK31" s="114"/>
      <c r="EL31" s="63"/>
      <c r="EM31" s="27" t="str">
        <f>IF(EL31="","",VLOOKUP(EL31,Parts_Data!$AB$2:$AC$102,2,FALSE))</f>
        <v/>
      </c>
      <c r="EN31" s="63"/>
      <c r="EO31" s="67"/>
      <c r="EP31" s="74"/>
      <c r="EQ31" s="114"/>
      <c r="ER31" s="63"/>
      <c r="ES31" s="27" t="str">
        <f>IF(ER31="","",VLOOKUP(ER31,Parts_Data!$AB$2:$AC$102,2,FALSE))</f>
        <v/>
      </c>
      <c r="ET31" s="63"/>
      <c r="EU31" s="67"/>
      <c r="EV31" s="74"/>
      <c r="EW31" s="114"/>
    </row>
    <row r="32" spans="1:153" ht="15.6" x14ac:dyDescent="0.3">
      <c r="A32" t="str">
        <f t="shared" si="0"/>
        <v>GR700ES1</v>
      </c>
      <c r="B32" s="50">
        <v>19</v>
      </c>
      <c r="C32" s="32" t="str">
        <f t="shared" si="1"/>
        <v/>
      </c>
      <c r="D32" s="64"/>
      <c r="E32" s="26" t="str">
        <f>IF(D32="","",VLOOKUP(D32,Parts_Data!$AB$2:$AC$102,2,FALSE))</f>
        <v/>
      </c>
      <c r="F32" s="64"/>
      <c r="G32" s="68"/>
      <c r="H32" s="75"/>
      <c r="I32" s="115"/>
      <c r="J32" s="64"/>
      <c r="K32" s="26" t="str">
        <f>IF(J32="","",VLOOKUP(J32,Parts_Data!$AB$2:$AC$102,2,FALSE))</f>
        <v/>
      </c>
      <c r="L32" s="64"/>
      <c r="M32" s="68"/>
      <c r="N32" s="75"/>
      <c r="O32" s="115"/>
      <c r="P32" s="64"/>
      <c r="Q32" s="26" t="str">
        <f>IF(P32="","",VLOOKUP(P32,Parts_Data!$AB$2:$AC$102,2,FALSE))</f>
        <v/>
      </c>
      <c r="R32" s="64"/>
      <c r="S32" s="68"/>
      <c r="T32" s="75"/>
      <c r="U32" s="115"/>
      <c r="V32" s="64"/>
      <c r="W32" s="26" t="str">
        <f>IF(V32="","",VLOOKUP(V32,Parts_Data!$AB$2:$AC$102,2,FALSE))</f>
        <v/>
      </c>
      <c r="X32" s="64"/>
      <c r="Y32" s="68"/>
      <c r="Z32" s="75"/>
      <c r="AA32" s="115"/>
      <c r="AB32" s="64"/>
      <c r="AC32" s="26" t="str">
        <f>IF(AB32="","",VLOOKUP(AB32,Parts_Data!$AB$2:$AC$102,2,FALSE))</f>
        <v/>
      </c>
      <c r="AD32" s="64"/>
      <c r="AE32" s="68"/>
      <c r="AF32" s="75"/>
      <c r="AG32" s="115"/>
      <c r="AH32" s="64"/>
      <c r="AI32" s="26" t="str">
        <f>IF(AH32="","",VLOOKUP(AH32,Parts_Data!$AB$2:$AC$102,2,FALSE))</f>
        <v/>
      </c>
      <c r="AJ32" s="64"/>
      <c r="AK32" s="68"/>
      <c r="AL32" s="75"/>
      <c r="AM32" s="115"/>
      <c r="AN32" s="64"/>
      <c r="AO32" s="26" t="str">
        <f>IF(AN32="","",VLOOKUP(AN32,Parts_Data!$AB$2:$AC$102,2,FALSE))</f>
        <v/>
      </c>
      <c r="AP32" s="64"/>
      <c r="AQ32" s="68"/>
      <c r="AR32" s="75"/>
      <c r="AS32" s="115"/>
      <c r="AT32" s="64"/>
      <c r="AU32" s="26" t="str">
        <f>IF(AT32="","",VLOOKUP(AT32,Parts_Data!$AB$2:$AC$102,2,FALSE))</f>
        <v/>
      </c>
      <c r="AV32" s="64"/>
      <c r="AW32" s="68"/>
      <c r="AX32" s="75"/>
      <c r="AY32" s="115"/>
      <c r="AZ32" s="64"/>
      <c r="BA32" s="26" t="str">
        <f>IF(AZ32="","",VLOOKUP(AZ32,Parts_Data!$AB$2:$AC$102,2,FALSE))</f>
        <v/>
      </c>
      <c r="BB32" s="64"/>
      <c r="BC32" s="68"/>
      <c r="BD32" s="75"/>
      <c r="BE32" s="115"/>
      <c r="BF32" s="64"/>
      <c r="BG32" s="26" t="str">
        <f>IF(BF32="","",VLOOKUP(BF32,Parts_Data!$AB$2:$AC$102,2,FALSE))</f>
        <v/>
      </c>
      <c r="BH32" s="64"/>
      <c r="BI32" s="68"/>
      <c r="BJ32" s="75"/>
      <c r="BK32" s="115"/>
      <c r="BL32" s="64"/>
      <c r="BM32" s="26" t="str">
        <f>IF(BL32="","",VLOOKUP(BL32,Parts_Data!$AB$2:$AC$102,2,FALSE))</f>
        <v/>
      </c>
      <c r="BN32" s="64"/>
      <c r="BO32" s="68"/>
      <c r="BP32" s="75"/>
      <c r="BQ32" s="115"/>
      <c r="BR32" s="64"/>
      <c r="BS32" s="26" t="str">
        <f>IF(BR32="","",VLOOKUP(BR32,Parts_Data!$AB$2:$AC$102,2,FALSE))</f>
        <v/>
      </c>
      <c r="BT32" s="64"/>
      <c r="BU32" s="68"/>
      <c r="BV32" s="75"/>
      <c r="BW32" s="115"/>
      <c r="BX32" s="64"/>
      <c r="BY32" s="26" t="str">
        <f>IF(BX32="","",VLOOKUP(BX32,Parts_Data!$AB$2:$AC$102,2,FALSE))</f>
        <v/>
      </c>
      <c r="BZ32" s="64"/>
      <c r="CA32" s="68"/>
      <c r="CB32" s="75"/>
      <c r="CC32" s="115"/>
      <c r="CD32" s="64"/>
      <c r="CE32" s="26" t="str">
        <f>IF(CD32="","",VLOOKUP(CD32,Parts_Data!$AB$2:$AC$102,2,FALSE))</f>
        <v/>
      </c>
      <c r="CF32" s="64"/>
      <c r="CG32" s="68"/>
      <c r="CH32" s="75"/>
      <c r="CI32" s="115"/>
      <c r="CJ32" s="64"/>
      <c r="CK32" s="26" t="str">
        <f>IF(CJ32="","",VLOOKUP(CJ32,Parts_Data!$AB$2:$AC$102,2,FALSE))</f>
        <v/>
      </c>
      <c r="CL32" s="64"/>
      <c r="CM32" s="68"/>
      <c r="CN32" s="75"/>
      <c r="CO32" s="115"/>
      <c r="CP32" s="64"/>
      <c r="CQ32" s="26" t="str">
        <f>IF(CP32="","",VLOOKUP(CP32,Parts_Data!$AB$2:$AC$102,2,FALSE))</f>
        <v/>
      </c>
      <c r="CR32" s="64"/>
      <c r="CS32" s="68"/>
      <c r="CT32" s="75"/>
      <c r="CU32" s="115"/>
      <c r="CV32" s="64"/>
      <c r="CW32" s="26" t="str">
        <f>IF(CV32="","",VLOOKUP(CV32,Parts_Data!$AB$2:$AC$102,2,FALSE))</f>
        <v/>
      </c>
      <c r="CX32" s="64"/>
      <c r="CY32" s="68"/>
      <c r="CZ32" s="75"/>
      <c r="DA32" s="115"/>
      <c r="DB32" s="64"/>
      <c r="DC32" s="26" t="str">
        <f>IF(DB32="","",VLOOKUP(DB32,Parts_Data!$AB$2:$AC$102,2,FALSE))</f>
        <v/>
      </c>
      <c r="DD32" s="64"/>
      <c r="DE32" s="68"/>
      <c r="DF32" s="75"/>
      <c r="DG32" s="115"/>
      <c r="DH32" s="64"/>
      <c r="DI32" s="26" t="str">
        <f>IF(DH32="","",VLOOKUP(DH32,Parts_Data!$AB$2:$AC$102,2,FALSE))</f>
        <v/>
      </c>
      <c r="DJ32" s="64"/>
      <c r="DK32" s="68"/>
      <c r="DL32" s="75"/>
      <c r="DM32" s="115"/>
      <c r="DN32" s="64"/>
      <c r="DO32" s="26" t="str">
        <f>IF(DN32="","",VLOOKUP(DN32,Parts_Data!$AB$2:$AC$102,2,FALSE))</f>
        <v/>
      </c>
      <c r="DP32" s="64"/>
      <c r="DQ32" s="68"/>
      <c r="DR32" s="75"/>
      <c r="DS32" s="115"/>
      <c r="DT32" s="64"/>
      <c r="DU32" s="26" t="str">
        <f>IF(DT32="","",VLOOKUP(DT32,Parts_Data!$AB$2:$AC$102,2,FALSE))</f>
        <v/>
      </c>
      <c r="DV32" s="64"/>
      <c r="DW32" s="68"/>
      <c r="DX32" s="75"/>
      <c r="DY32" s="115"/>
      <c r="DZ32" s="64"/>
      <c r="EA32" s="26" t="str">
        <f>IF(DZ32="","",VLOOKUP(DZ32,Parts_Data!$AB$2:$AC$102,2,FALSE))</f>
        <v/>
      </c>
      <c r="EB32" s="64"/>
      <c r="EC32" s="68"/>
      <c r="ED32" s="75"/>
      <c r="EE32" s="115"/>
      <c r="EF32" s="64"/>
      <c r="EG32" s="26" t="str">
        <f>IF(EF32="","",VLOOKUP(EF32,Parts_Data!$AB$2:$AC$102,2,FALSE))</f>
        <v/>
      </c>
      <c r="EH32" s="64"/>
      <c r="EI32" s="68"/>
      <c r="EJ32" s="75"/>
      <c r="EK32" s="115"/>
      <c r="EL32" s="64"/>
      <c r="EM32" s="26" t="str">
        <f>IF(EL32="","",VLOOKUP(EL32,Parts_Data!$AB$2:$AC$102,2,FALSE))</f>
        <v/>
      </c>
      <c r="EN32" s="64"/>
      <c r="EO32" s="68"/>
      <c r="EP32" s="75"/>
      <c r="EQ32" s="115"/>
      <c r="ER32" s="64"/>
      <c r="ES32" s="26" t="str">
        <f>IF(ER32="","",VLOOKUP(ER32,Parts_Data!$AB$2:$AC$102,2,FALSE))</f>
        <v/>
      </c>
      <c r="ET32" s="64"/>
      <c r="EU32" s="68"/>
      <c r="EV32" s="75"/>
      <c r="EW32" s="115"/>
    </row>
    <row r="33" spans="1:153" ht="15.6" x14ac:dyDescent="0.3">
      <c r="A33" t="str">
        <f t="shared" si="0"/>
        <v>GR700ES1</v>
      </c>
      <c r="B33" s="50">
        <v>20</v>
      </c>
      <c r="C33" s="32" t="str">
        <f t="shared" si="1"/>
        <v/>
      </c>
      <c r="D33" s="63"/>
      <c r="E33" s="27" t="str">
        <f>IF(D33="","",VLOOKUP(D33,Parts_Data!$AB$2:$AC$102,2,FALSE))</f>
        <v/>
      </c>
      <c r="F33" s="63"/>
      <c r="G33" s="67"/>
      <c r="H33" s="74"/>
      <c r="I33" s="114"/>
      <c r="J33" s="63"/>
      <c r="K33" s="27" t="str">
        <f>IF(J33="","",VLOOKUP(J33,Parts_Data!$AB$2:$AC$102,2,FALSE))</f>
        <v/>
      </c>
      <c r="L33" s="63"/>
      <c r="M33" s="67"/>
      <c r="N33" s="74"/>
      <c r="O33" s="114"/>
      <c r="P33" s="63"/>
      <c r="Q33" s="27" t="str">
        <f>IF(P33="","",VLOOKUP(P33,Parts_Data!$AB$2:$AC$102,2,FALSE))</f>
        <v/>
      </c>
      <c r="R33" s="63"/>
      <c r="S33" s="67"/>
      <c r="T33" s="74"/>
      <c r="U33" s="114"/>
      <c r="V33" s="63"/>
      <c r="W33" s="27" t="str">
        <f>IF(V33="","",VLOOKUP(V33,Parts_Data!$AB$2:$AC$102,2,FALSE))</f>
        <v/>
      </c>
      <c r="X33" s="63"/>
      <c r="Y33" s="67"/>
      <c r="Z33" s="74"/>
      <c r="AA33" s="114"/>
      <c r="AB33" s="63"/>
      <c r="AC33" s="27" t="str">
        <f>IF(AB33="","",VLOOKUP(AB33,Parts_Data!$AB$2:$AC$102,2,FALSE))</f>
        <v/>
      </c>
      <c r="AD33" s="63"/>
      <c r="AE33" s="67"/>
      <c r="AF33" s="74"/>
      <c r="AG33" s="114"/>
      <c r="AH33" s="63"/>
      <c r="AI33" s="27" t="str">
        <f>IF(AH33="","",VLOOKUP(AH33,Parts_Data!$AB$2:$AC$102,2,FALSE))</f>
        <v/>
      </c>
      <c r="AJ33" s="63"/>
      <c r="AK33" s="67"/>
      <c r="AL33" s="74"/>
      <c r="AM33" s="114"/>
      <c r="AN33" s="63"/>
      <c r="AO33" s="27" t="str">
        <f>IF(AN33="","",VLOOKUP(AN33,Parts_Data!$AB$2:$AC$102,2,FALSE))</f>
        <v/>
      </c>
      <c r="AP33" s="63"/>
      <c r="AQ33" s="67"/>
      <c r="AR33" s="74"/>
      <c r="AS33" s="114"/>
      <c r="AT33" s="63"/>
      <c r="AU33" s="27" t="str">
        <f>IF(AT33="","",VLOOKUP(AT33,Parts_Data!$AB$2:$AC$102,2,FALSE))</f>
        <v/>
      </c>
      <c r="AV33" s="63"/>
      <c r="AW33" s="67"/>
      <c r="AX33" s="74"/>
      <c r="AY33" s="114"/>
      <c r="AZ33" s="63"/>
      <c r="BA33" s="27" t="str">
        <f>IF(AZ33="","",VLOOKUP(AZ33,Parts_Data!$AB$2:$AC$102,2,FALSE))</f>
        <v/>
      </c>
      <c r="BB33" s="63"/>
      <c r="BC33" s="67"/>
      <c r="BD33" s="74"/>
      <c r="BE33" s="114"/>
      <c r="BF33" s="63"/>
      <c r="BG33" s="27" t="str">
        <f>IF(BF33="","",VLOOKUP(BF33,Parts_Data!$AB$2:$AC$102,2,FALSE))</f>
        <v/>
      </c>
      <c r="BH33" s="63"/>
      <c r="BI33" s="67"/>
      <c r="BJ33" s="74"/>
      <c r="BK33" s="114"/>
      <c r="BL33" s="63"/>
      <c r="BM33" s="27" t="str">
        <f>IF(BL33="","",VLOOKUP(BL33,Parts_Data!$AB$2:$AC$102,2,FALSE))</f>
        <v/>
      </c>
      <c r="BN33" s="63"/>
      <c r="BO33" s="67"/>
      <c r="BP33" s="74"/>
      <c r="BQ33" s="114"/>
      <c r="BR33" s="63"/>
      <c r="BS33" s="27" t="str">
        <f>IF(BR33="","",VLOOKUP(BR33,Parts_Data!$AB$2:$AC$102,2,FALSE))</f>
        <v/>
      </c>
      <c r="BT33" s="63"/>
      <c r="BU33" s="67"/>
      <c r="BV33" s="74"/>
      <c r="BW33" s="114"/>
      <c r="BX33" s="63"/>
      <c r="BY33" s="27" t="str">
        <f>IF(BX33="","",VLOOKUP(BX33,Parts_Data!$AB$2:$AC$102,2,FALSE))</f>
        <v/>
      </c>
      <c r="BZ33" s="63"/>
      <c r="CA33" s="67"/>
      <c r="CB33" s="74"/>
      <c r="CC33" s="114"/>
      <c r="CD33" s="63"/>
      <c r="CE33" s="27" t="str">
        <f>IF(CD33="","",VLOOKUP(CD33,Parts_Data!$AB$2:$AC$102,2,FALSE))</f>
        <v/>
      </c>
      <c r="CF33" s="63"/>
      <c r="CG33" s="67"/>
      <c r="CH33" s="74"/>
      <c r="CI33" s="114"/>
      <c r="CJ33" s="63"/>
      <c r="CK33" s="27" t="str">
        <f>IF(CJ33="","",VLOOKUP(CJ33,Parts_Data!$AB$2:$AC$102,2,FALSE))</f>
        <v/>
      </c>
      <c r="CL33" s="63"/>
      <c r="CM33" s="67"/>
      <c r="CN33" s="74"/>
      <c r="CO33" s="114"/>
      <c r="CP33" s="63"/>
      <c r="CQ33" s="27" t="str">
        <f>IF(CP33="","",VLOOKUP(CP33,Parts_Data!$AB$2:$AC$102,2,FALSE))</f>
        <v/>
      </c>
      <c r="CR33" s="63"/>
      <c r="CS33" s="67"/>
      <c r="CT33" s="74"/>
      <c r="CU33" s="114"/>
      <c r="CV33" s="63"/>
      <c r="CW33" s="27" t="str">
        <f>IF(CV33="","",VLOOKUP(CV33,Parts_Data!$AB$2:$AC$102,2,FALSE))</f>
        <v/>
      </c>
      <c r="CX33" s="63"/>
      <c r="CY33" s="67"/>
      <c r="CZ33" s="74"/>
      <c r="DA33" s="114"/>
      <c r="DB33" s="63"/>
      <c r="DC33" s="27" t="str">
        <f>IF(DB33="","",VLOOKUP(DB33,Parts_Data!$AB$2:$AC$102,2,FALSE))</f>
        <v/>
      </c>
      <c r="DD33" s="63"/>
      <c r="DE33" s="67"/>
      <c r="DF33" s="74"/>
      <c r="DG33" s="114"/>
      <c r="DH33" s="63"/>
      <c r="DI33" s="27" t="str">
        <f>IF(DH33="","",VLOOKUP(DH33,Parts_Data!$AB$2:$AC$102,2,FALSE))</f>
        <v/>
      </c>
      <c r="DJ33" s="63"/>
      <c r="DK33" s="67"/>
      <c r="DL33" s="74"/>
      <c r="DM33" s="114"/>
      <c r="DN33" s="63"/>
      <c r="DO33" s="27" t="str">
        <f>IF(DN33="","",VLOOKUP(DN33,Parts_Data!$AB$2:$AC$102,2,FALSE))</f>
        <v/>
      </c>
      <c r="DP33" s="63"/>
      <c r="DQ33" s="67"/>
      <c r="DR33" s="74"/>
      <c r="DS33" s="114"/>
      <c r="DT33" s="63"/>
      <c r="DU33" s="27" t="str">
        <f>IF(DT33="","",VLOOKUP(DT33,Parts_Data!$AB$2:$AC$102,2,FALSE))</f>
        <v/>
      </c>
      <c r="DV33" s="63"/>
      <c r="DW33" s="67"/>
      <c r="DX33" s="74"/>
      <c r="DY33" s="114"/>
      <c r="DZ33" s="63"/>
      <c r="EA33" s="27" t="str">
        <f>IF(DZ33="","",VLOOKUP(DZ33,Parts_Data!$AB$2:$AC$102,2,FALSE))</f>
        <v/>
      </c>
      <c r="EB33" s="63"/>
      <c r="EC33" s="67"/>
      <c r="ED33" s="74"/>
      <c r="EE33" s="114"/>
      <c r="EF33" s="63"/>
      <c r="EG33" s="27" t="str">
        <f>IF(EF33="","",VLOOKUP(EF33,Parts_Data!$AB$2:$AC$102,2,FALSE))</f>
        <v/>
      </c>
      <c r="EH33" s="63"/>
      <c r="EI33" s="67"/>
      <c r="EJ33" s="74"/>
      <c r="EK33" s="114"/>
      <c r="EL33" s="63"/>
      <c r="EM33" s="27" t="str">
        <f>IF(EL33="","",VLOOKUP(EL33,Parts_Data!$AB$2:$AC$102,2,FALSE))</f>
        <v/>
      </c>
      <c r="EN33" s="63"/>
      <c r="EO33" s="67"/>
      <c r="EP33" s="74"/>
      <c r="EQ33" s="114"/>
      <c r="ER33" s="63"/>
      <c r="ES33" s="27" t="str">
        <f>IF(ER33="","",VLOOKUP(ER33,Parts_Data!$AB$2:$AC$102,2,FALSE))</f>
        <v/>
      </c>
      <c r="ET33" s="63"/>
      <c r="EU33" s="67"/>
      <c r="EV33" s="74"/>
      <c r="EW33" s="114"/>
    </row>
    <row r="34" spans="1:153" ht="15.6" x14ac:dyDescent="0.3">
      <c r="A34" t="str">
        <f t="shared" si="0"/>
        <v>GR700ES1</v>
      </c>
      <c r="B34" s="50">
        <v>21</v>
      </c>
      <c r="C34" s="32" t="str">
        <f t="shared" si="1"/>
        <v/>
      </c>
      <c r="D34" s="64"/>
      <c r="E34" s="26" t="str">
        <f>IF(D34="","",VLOOKUP(D34,Parts_Data!$AB$2:$AC$102,2,FALSE))</f>
        <v/>
      </c>
      <c r="F34" s="64"/>
      <c r="G34" s="68"/>
      <c r="H34" s="75"/>
      <c r="I34" s="115"/>
      <c r="J34" s="64"/>
      <c r="K34" s="26" t="str">
        <f>IF(J34="","",VLOOKUP(J34,Parts_Data!$AB$2:$AC$102,2,FALSE))</f>
        <v/>
      </c>
      <c r="L34" s="64"/>
      <c r="M34" s="68"/>
      <c r="N34" s="75"/>
      <c r="O34" s="115"/>
      <c r="P34" s="64"/>
      <c r="Q34" s="26" t="str">
        <f>IF(P34="","",VLOOKUP(P34,Parts_Data!$AB$2:$AC$102,2,FALSE))</f>
        <v/>
      </c>
      <c r="R34" s="64"/>
      <c r="S34" s="68"/>
      <c r="T34" s="75"/>
      <c r="U34" s="115"/>
      <c r="V34" s="64"/>
      <c r="W34" s="26" t="str">
        <f>IF(V34="","",VLOOKUP(V34,Parts_Data!$AB$2:$AC$102,2,FALSE))</f>
        <v/>
      </c>
      <c r="X34" s="64"/>
      <c r="Y34" s="68"/>
      <c r="Z34" s="75"/>
      <c r="AA34" s="115"/>
      <c r="AB34" s="64"/>
      <c r="AC34" s="26" t="str">
        <f>IF(AB34="","",VLOOKUP(AB34,Parts_Data!$AB$2:$AC$102,2,FALSE))</f>
        <v/>
      </c>
      <c r="AD34" s="64"/>
      <c r="AE34" s="68"/>
      <c r="AF34" s="75"/>
      <c r="AG34" s="115"/>
      <c r="AH34" s="64"/>
      <c r="AI34" s="26" t="str">
        <f>IF(AH34="","",VLOOKUP(AH34,Parts_Data!$AB$2:$AC$102,2,FALSE))</f>
        <v/>
      </c>
      <c r="AJ34" s="64"/>
      <c r="AK34" s="68"/>
      <c r="AL34" s="75"/>
      <c r="AM34" s="115"/>
      <c r="AN34" s="64"/>
      <c r="AO34" s="26" t="str">
        <f>IF(AN34="","",VLOOKUP(AN34,Parts_Data!$AB$2:$AC$102,2,FALSE))</f>
        <v/>
      </c>
      <c r="AP34" s="64"/>
      <c r="AQ34" s="68"/>
      <c r="AR34" s="75"/>
      <c r="AS34" s="115"/>
      <c r="AT34" s="64"/>
      <c r="AU34" s="26" t="str">
        <f>IF(AT34="","",VLOOKUP(AT34,Parts_Data!$AB$2:$AC$102,2,FALSE))</f>
        <v/>
      </c>
      <c r="AV34" s="64"/>
      <c r="AW34" s="68"/>
      <c r="AX34" s="75"/>
      <c r="AY34" s="115"/>
      <c r="AZ34" s="64"/>
      <c r="BA34" s="26" t="str">
        <f>IF(AZ34="","",VLOOKUP(AZ34,Parts_Data!$AB$2:$AC$102,2,FALSE))</f>
        <v/>
      </c>
      <c r="BB34" s="64"/>
      <c r="BC34" s="68"/>
      <c r="BD34" s="75"/>
      <c r="BE34" s="115"/>
      <c r="BF34" s="64"/>
      <c r="BG34" s="26" t="str">
        <f>IF(BF34="","",VLOOKUP(BF34,Parts_Data!$AB$2:$AC$102,2,FALSE))</f>
        <v/>
      </c>
      <c r="BH34" s="64"/>
      <c r="BI34" s="68"/>
      <c r="BJ34" s="75"/>
      <c r="BK34" s="115"/>
      <c r="BL34" s="64"/>
      <c r="BM34" s="26" t="str">
        <f>IF(BL34="","",VLOOKUP(BL34,Parts_Data!$AB$2:$AC$102,2,FALSE))</f>
        <v/>
      </c>
      <c r="BN34" s="64"/>
      <c r="BO34" s="68"/>
      <c r="BP34" s="75"/>
      <c r="BQ34" s="115"/>
      <c r="BR34" s="64"/>
      <c r="BS34" s="26" t="str">
        <f>IF(BR34="","",VLOOKUP(BR34,Parts_Data!$AB$2:$AC$102,2,FALSE))</f>
        <v/>
      </c>
      <c r="BT34" s="64"/>
      <c r="BU34" s="68"/>
      <c r="BV34" s="75"/>
      <c r="BW34" s="115"/>
      <c r="BX34" s="64"/>
      <c r="BY34" s="26" t="str">
        <f>IF(BX34="","",VLOOKUP(BX34,Parts_Data!$AB$2:$AC$102,2,FALSE))</f>
        <v/>
      </c>
      <c r="BZ34" s="64"/>
      <c r="CA34" s="68"/>
      <c r="CB34" s="75"/>
      <c r="CC34" s="115"/>
      <c r="CD34" s="64"/>
      <c r="CE34" s="26" t="str">
        <f>IF(CD34="","",VLOOKUP(CD34,Parts_Data!$AB$2:$AC$102,2,FALSE))</f>
        <v/>
      </c>
      <c r="CF34" s="64"/>
      <c r="CG34" s="68"/>
      <c r="CH34" s="75"/>
      <c r="CI34" s="115"/>
      <c r="CJ34" s="64"/>
      <c r="CK34" s="26" t="str">
        <f>IF(CJ34="","",VLOOKUP(CJ34,Parts_Data!$AB$2:$AC$102,2,FALSE))</f>
        <v/>
      </c>
      <c r="CL34" s="64"/>
      <c r="CM34" s="68"/>
      <c r="CN34" s="75"/>
      <c r="CO34" s="115"/>
      <c r="CP34" s="64"/>
      <c r="CQ34" s="26" t="str">
        <f>IF(CP34="","",VLOOKUP(CP34,Parts_Data!$AB$2:$AC$102,2,FALSE))</f>
        <v/>
      </c>
      <c r="CR34" s="64"/>
      <c r="CS34" s="68"/>
      <c r="CT34" s="75"/>
      <c r="CU34" s="115"/>
      <c r="CV34" s="64"/>
      <c r="CW34" s="26" t="str">
        <f>IF(CV34="","",VLOOKUP(CV34,Parts_Data!$AB$2:$AC$102,2,FALSE))</f>
        <v/>
      </c>
      <c r="CX34" s="64"/>
      <c r="CY34" s="68"/>
      <c r="CZ34" s="75"/>
      <c r="DA34" s="115"/>
      <c r="DB34" s="64"/>
      <c r="DC34" s="26" t="str">
        <f>IF(DB34="","",VLOOKUP(DB34,Parts_Data!$AB$2:$AC$102,2,FALSE))</f>
        <v/>
      </c>
      <c r="DD34" s="64"/>
      <c r="DE34" s="68"/>
      <c r="DF34" s="75"/>
      <c r="DG34" s="115"/>
      <c r="DH34" s="64"/>
      <c r="DI34" s="26" t="str">
        <f>IF(DH34="","",VLOOKUP(DH34,Parts_Data!$AB$2:$AC$102,2,FALSE))</f>
        <v/>
      </c>
      <c r="DJ34" s="64"/>
      <c r="DK34" s="68"/>
      <c r="DL34" s="75"/>
      <c r="DM34" s="115"/>
      <c r="DN34" s="64"/>
      <c r="DO34" s="26" t="str">
        <f>IF(DN34="","",VLOOKUP(DN34,Parts_Data!$AB$2:$AC$102,2,FALSE))</f>
        <v/>
      </c>
      <c r="DP34" s="64"/>
      <c r="DQ34" s="68"/>
      <c r="DR34" s="75"/>
      <c r="DS34" s="115"/>
      <c r="DT34" s="64"/>
      <c r="DU34" s="26" t="str">
        <f>IF(DT34="","",VLOOKUP(DT34,Parts_Data!$AB$2:$AC$102,2,FALSE))</f>
        <v/>
      </c>
      <c r="DV34" s="64"/>
      <c r="DW34" s="68"/>
      <c r="DX34" s="75"/>
      <c r="DY34" s="115"/>
      <c r="DZ34" s="64"/>
      <c r="EA34" s="26" t="str">
        <f>IF(DZ34="","",VLOOKUP(DZ34,Parts_Data!$AB$2:$AC$102,2,FALSE))</f>
        <v/>
      </c>
      <c r="EB34" s="64"/>
      <c r="EC34" s="68"/>
      <c r="ED34" s="75"/>
      <c r="EE34" s="115"/>
      <c r="EF34" s="64"/>
      <c r="EG34" s="26" t="str">
        <f>IF(EF34="","",VLOOKUP(EF34,Parts_Data!$AB$2:$AC$102,2,FALSE))</f>
        <v/>
      </c>
      <c r="EH34" s="64"/>
      <c r="EI34" s="68"/>
      <c r="EJ34" s="75"/>
      <c r="EK34" s="115"/>
      <c r="EL34" s="64"/>
      <c r="EM34" s="26" t="str">
        <f>IF(EL34="","",VLOOKUP(EL34,Parts_Data!$AB$2:$AC$102,2,FALSE))</f>
        <v/>
      </c>
      <c r="EN34" s="64"/>
      <c r="EO34" s="68"/>
      <c r="EP34" s="75"/>
      <c r="EQ34" s="115"/>
      <c r="ER34" s="64"/>
      <c r="ES34" s="26" t="str">
        <f>IF(ER34="","",VLOOKUP(ER34,Parts_Data!$AB$2:$AC$102,2,FALSE))</f>
        <v/>
      </c>
      <c r="ET34" s="64"/>
      <c r="EU34" s="68"/>
      <c r="EV34" s="75"/>
      <c r="EW34" s="115"/>
    </row>
    <row r="35" spans="1:153" ht="15.6" x14ac:dyDescent="0.3">
      <c r="A35" t="str">
        <f t="shared" si="0"/>
        <v>GR700ES1</v>
      </c>
      <c r="B35" s="50">
        <v>22</v>
      </c>
      <c r="C35" s="32" t="str">
        <f t="shared" si="1"/>
        <v/>
      </c>
      <c r="D35" s="63"/>
      <c r="E35" s="27" t="str">
        <f>IF(D35="","",VLOOKUP(D35,Parts_Data!$AB$2:$AC$102,2,FALSE))</f>
        <v/>
      </c>
      <c r="F35" s="63"/>
      <c r="G35" s="67"/>
      <c r="H35" s="74"/>
      <c r="I35" s="114"/>
      <c r="J35" s="63"/>
      <c r="K35" s="27" t="str">
        <f>IF(J35="","",VLOOKUP(J35,Parts_Data!$AB$2:$AC$102,2,FALSE))</f>
        <v/>
      </c>
      <c r="L35" s="63"/>
      <c r="M35" s="67"/>
      <c r="N35" s="74"/>
      <c r="O35" s="114"/>
      <c r="P35" s="63"/>
      <c r="Q35" s="27" t="str">
        <f>IF(P35="","",VLOOKUP(P35,Parts_Data!$AB$2:$AC$102,2,FALSE))</f>
        <v/>
      </c>
      <c r="R35" s="63"/>
      <c r="S35" s="67"/>
      <c r="T35" s="74"/>
      <c r="U35" s="114"/>
      <c r="V35" s="63"/>
      <c r="W35" s="27" t="str">
        <f>IF(V35="","",VLOOKUP(V35,Parts_Data!$AB$2:$AC$102,2,FALSE))</f>
        <v/>
      </c>
      <c r="X35" s="63"/>
      <c r="Y35" s="67"/>
      <c r="Z35" s="74"/>
      <c r="AA35" s="114"/>
      <c r="AB35" s="63"/>
      <c r="AC35" s="27" t="str">
        <f>IF(AB35="","",VLOOKUP(AB35,Parts_Data!$AB$2:$AC$102,2,FALSE))</f>
        <v/>
      </c>
      <c r="AD35" s="63"/>
      <c r="AE35" s="67"/>
      <c r="AF35" s="74"/>
      <c r="AG35" s="114"/>
      <c r="AH35" s="63"/>
      <c r="AI35" s="27" t="str">
        <f>IF(AH35="","",VLOOKUP(AH35,Parts_Data!$AB$2:$AC$102,2,FALSE))</f>
        <v/>
      </c>
      <c r="AJ35" s="63"/>
      <c r="AK35" s="67"/>
      <c r="AL35" s="74"/>
      <c r="AM35" s="114"/>
      <c r="AN35" s="63"/>
      <c r="AO35" s="27" t="str">
        <f>IF(AN35="","",VLOOKUP(AN35,Parts_Data!$AB$2:$AC$102,2,FALSE))</f>
        <v/>
      </c>
      <c r="AP35" s="63"/>
      <c r="AQ35" s="67"/>
      <c r="AR35" s="74"/>
      <c r="AS35" s="114"/>
      <c r="AT35" s="63"/>
      <c r="AU35" s="27" t="str">
        <f>IF(AT35="","",VLOOKUP(AT35,Parts_Data!$AB$2:$AC$102,2,FALSE))</f>
        <v/>
      </c>
      <c r="AV35" s="63"/>
      <c r="AW35" s="67"/>
      <c r="AX35" s="74"/>
      <c r="AY35" s="114"/>
      <c r="AZ35" s="63"/>
      <c r="BA35" s="27" t="str">
        <f>IF(AZ35="","",VLOOKUP(AZ35,Parts_Data!$AB$2:$AC$102,2,FALSE))</f>
        <v/>
      </c>
      <c r="BB35" s="63"/>
      <c r="BC35" s="67"/>
      <c r="BD35" s="74"/>
      <c r="BE35" s="114"/>
      <c r="BF35" s="63"/>
      <c r="BG35" s="27" t="str">
        <f>IF(BF35="","",VLOOKUP(BF35,Parts_Data!$AB$2:$AC$102,2,FALSE))</f>
        <v/>
      </c>
      <c r="BH35" s="63"/>
      <c r="BI35" s="67"/>
      <c r="BJ35" s="74"/>
      <c r="BK35" s="114"/>
      <c r="BL35" s="63"/>
      <c r="BM35" s="27" t="str">
        <f>IF(BL35="","",VLOOKUP(BL35,Parts_Data!$AB$2:$AC$102,2,FALSE))</f>
        <v/>
      </c>
      <c r="BN35" s="63"/>
      <c r="BO35" s="67"/>
      <c r="BP35" s="74"/>
      <c r="BQ35" s="114"/>
      <c r="BR35" s="63"/>
      <c r="BS35" s="27" t="str">
        <f>IF(BR35="","",VLOOKUP(BR35,Parts_Data!$AB$2:$AC$102,2,FALSE))</f>
        <v/>
      </c>
      <c r="BT35" s="63"/>
      <c r="BU35" s="67"/>
      <c r="BV35" s="74"/>
      <c r="BW35" s="114"/>
      <c r="BX35" s="63"/>
      <c r="BY35" s="27" t="str">
        <f>IF(BX35="","",VLOOKUP(BX35,Parts_Data!$AB$2:$AC$102,2,FALSE))</f>
        <v/>
      </c>
      <c r="BZ35" s="63"/>
      <c r="CA35" s="67"/>
      <c r="CB35" s="74"/>
      <c r="CC35" s="114"/>
      <c r="CD35" s="63"/>
      <c r="CE35" s="27" t="str">
        <f>IF(CD35="","",VLOOKUP(CD35,Parts_Data!$AB$2:$AC$102,2,FALSE))</f>
        <v/>
      </c>
      <c r="CF35" s="63"/>
      <c r="CG35" s="67"/>
      <c r="CH35" s="74"/>
      <c r="CI35" s="114"/>
      <c r="CJ35" s="63"/>
      <c r="CK35" s="27" t="str">
        <f>IF(CJ35="","",VLOOKUP(CJ35,Parts_Data!$AB$2:$AC$102,2,FALSE))</f>
        <v/>
      </c>
      <c r="CL35" s="63"/>
      <c r="CM35" s="67"/>
      <c r="CN35" s="74"/>
      <c r="CO35" s="114"/>
      <c r="CP35" s="63"/>
      <c r="CQ35" s="27" t="str">
        <f>IF(CP35="","",VLOOKUP(CP35,Parts_Data!$AB$2:$AC$102,2,FALSE))</f>
        <v/>
      </c>
      <c r="CR35" s="63"/>
      <c r="CS35" s="67"/>
      <c r="CT35" s="74"/>
      <c r="CU35" s="114"/>
      <c r="CV35" s="63"/>
      <c r="CW35" s="27" t="str">
        <f>IF(CV35="","",VLOOKUP(CV35,Parts_Data!$AB$2:$AC$102,2,FALSE))</f>
        <v/>
      </c>
      <c r="CX35" s="63"/>
      <c r="CY35" s="67"/>
      <c r="CZ35" s="74"/>
      <c r="DA35" s="114"/>
      <c r="DB35" s="63"/>
      <c r="DC35" s="27" t="str">
        <f>IF(DB35="","",VLOOKUP(DB35,Parts_Data!$AB$2:$AC$102,2,FALSE))</f>
        <v/>
      </c>
      <c r="DD35" s="63"/>
      <c r="DE35" s="67"/>
      <c r="DF35" s="74"/>
      <c r="DG35" s="114"/>
      <c r="DH35" s="63"/>
      <c r="DI35" s="27" t="str">
        <f>IF(DH35="","",VLOOKUP(DH35,Parts_Data!$AB$2:$AC$102,2,FALSE))</f>
        <v/>
      </c>
      <c r="DJ35" s="63"/>
      <c r="DK35" s="67"/>
      <c r="DL35" s="74"/>
      <c r="DM35" s="114"/>
      <c r="DN35" s="63"/>
      <c r="DO35" s="27" t="str">
        <f>IF(DN35="","",VLOOKUP(DN35,Parts_Data!$AB$2:$AC$102,2,FALSE))</f>
        <v/>
      </c>
      <c r="DP35" s="63"/>
      <c r="DQ35" s="67"/>
      <c r="DR35" s="74"/>
      <c r="DS35" s="114"/>
      <c r="DT35" s="63"/>
      <c r="DU35" s="27" t="str">
        <f>IF(DT35="","",VLOOKUP(DT35,Parts_Data!$AB$2:$AC$102,2,FALSE))</f>
        <v/>
      </c>
      <c r="DV35" s="63"/>
      <c r="DW35" s="67"/>
      <c r="DX35" s="74"/>
      <c r="DY35" s="114"/>
      <c r="DZ35" s="63"/>
      <c r="EA35" s="27" t="str">
        <f>IF(DZ35="","",VLOOKUP(DZ35,Parts_Data!$AB$2:$AC$102,2,FALSE))</f>
        <v/>
      </c>
      <c r="EB35" s="63"/>
      <c r="EC35" s="67"/>
      <c r="ED35" s="74"/>
      <c r="EE35" s="114"/>
      <c r="EF35" s="63"/>
      <c r="EG35" s="27" t="str">
        <f>IF(EF35="","",VLOOKUP(EF35,Parts_Data!$AB$2:$AC$102,2,FALSE))</f>
        <v/>
      </c>
      <c r="EH35" s="63"/>
      <c r="EI35" s="67"/>
      <c r="EJ35" s="74"/>
      <c r="EK35" s="114"/>
      <c r="EL35" s="63"/>
      <c r="EM35" s="27" t="str">
        <f>IF(EL35="","",VLOOKUP(EL35,Parts_Data!$AB$2:$AC$102,2,FALSE))</f>
        <v/>
      </c>
      <c r="EN35" s="63"/>
      <c r="EO35" s="67"/>
      <c r="EP35" s="74"/>
      <c r="EQ35" s="114"/>
      <c r="ER35" s="63"/>
      <c r="ES35" s="27" t="str">
        <f>IF(ER35="","",VLOOKUP(ER35,Parts_Data!$AB$2:$AC$102,2,FALSE))</f>
        <v/>
      </c>
      <c r="ET35" s="63"/>
      <c r="EU35" s="67"/>
      <c r="EV35" s="74"/>
      <c r="EW35" s="114"/>
    </row>
    <row r="36" spans="1:153" ht="15.6" x14ac:dyDescent="0.3">
      <c r="A36" t="str">
        <f t="shared" si="0"/>
        <v>GR700ES1</v>
      </c>
      <c r="B36" s="50">
        <v>23</v>
      </c>
      <c r="C36" s="32" t="str">
        <f t="shared" si="1"/>
        <v/>
      </c>
      <c r="D36" s="64"/>
      <c r="E36" s="26" t="str">
        <f>IF(D36="","",VLOOKUP(D36,Parts_Data!$AB$2:$AC$102,2,FALSE))</f>
        <v/>
      </c>
      <c r="F36" s="64"/>
      <c r="G36" s="68"/>
      <c r="H36" s="75"/>
      <c r="I36" s="115"/>
      <c r="J36" s="64"/>
      <c r="K36" s="26" t="str">
        <f>IF(J36="","",VLOOKUP(J36,Parts_Data!$AB$2:$AC$102,2,FALSE))</f>
        <v/>
      </c>
      <c r="L36" s="64"/>
      <c r="M36" s="68"/>
      <c r="N36" s="75"/>
      <c r="O36" s="115"/>
      <c r="P36" s="64"/>
      <c r="Q36" s="26" t="str">
        <f>IF(P36="","",VLOOKUP(P36,Parts_Data!$AB$2:$AC$102,2,FALSE))</f>
        <v/>
      </c>
      <c r="R36" s="64"/>
      <c r="S36" s="68"/>
      <c r="T36" s="75"/>
      <c r="U36" s="115"/>
      <c r="V36" s="64"/>
      <c r="W36" s="26" t="str">
        <f>IF(V36="","",VLOOKUP(V36,Parts_Data!$AB$2:$AC$102,2,FALSE))</f>
        <v/>
      </c>
      <c r="X36" s="64"/>
      <c r="Y36" s="68"/>
      <c r="Z36" s="75"/>
      <c r="AA36" s="115"/>
      <c r="AB36" s="64"/>
      <c r="AC36" s="26" t="str">
        <f>IF(AB36="","",VLOOKUP(AB36,Parts_Data!$AB$2:$AC$102,2,FALSE))</f>
        <v/>
      </c>
      <c r="AD36" s="64"/>
      <c r="AE36" s="68"/>
      <c r="AF36" s="75"/>
      <c r="AG36" s="115"/>
      <c r="AH36" s="64"/>
      <c r="AI36" s="26" t="str">
        <f>IF(AH36="","",VLOOKUP(AH36,Parts_Data!$AB$2:$AC$102,2,FALSE))</f>
        <v/>
      </c>
      <c r="AJ36" s="64"/>
      <c r="AK36" s="68"/>
      <c r="AL36" s="75"/>
      <c r="AM36" s="115"/>
      <c r="AN36" s="64"/>
      <c r="AO36" s="26" t="str">
        <f>IF(AN36="","",VLOOKUP(AN36,Parts_Data!$AB$2:$AC$102,2,FALSE))</f>
        <v/>
      </c>
      <c r="AP36" s="64"/>
      <c r="AQ36" s="68"/>
      <c r="AR36" s="75"/>
      <c r="AS36" s="115"/>
      <c r="AT36" s="64"/>
      <c r="AU36" s="26" t="str">
        <f>IF(AT36="","",VLOOKUP(AT36,Parts_Data!$AB$2:$AC$102,2,FALSE))</f>
        <v/>
      </c>
      <c r="AV36" s="64"/>
      <c r="AW36" s="68"/>
      <c r="AX36" s="75"/>
      <c r="AY36" s="115"/>
      <c r="AZ36" s="64"/>
      <c r="BA36" s="26" t="str">
        <f>IF(AZ36="","",VLOOKUP(AZ36,Parts_Data!$AB$2:$AC$102,2,FALSE))</f>
        <v/>
      </c>
      <c r="BB36" s="64"/>
      <c r="BC36" s="68"/>
      <c r="BD36" s="75"/>
      <c r="BE36" s="115"/>
      <c r="BF36" s="64"/>
      <c r="BG36" s="26" t="str">
        <f>IF(BF36="","",VLOOKUP(BF36,Parts_Data!$AB$2:$AC$102,2,FALSE))</f>
        <v/>
      </c>
      <c r="BH36" s="64"/>
      <c r="BI36" s="68"/>
      <c r="BJ36" s="75"/>
      <c r="BK36" s="115"/>
      <c r="BL36" s="64"/>
      <c r="BM36" s="26" t="str">
        <f>IF(BL36="","",VLOOKUP(BL36,Parts_Data!$AB$2:$AC$102,2,FALSE))</f>
        <v/>
      </c>
      <c r="BN36" s="64"/>
      <c r="BO36" s="68"/>
      <c r="BP36" s="75"/>
      <c r="BQ36" s="115"/>
      <c r="BR36" s="64"/>
      <c r="BS36" s="26" t="str">
        <f>IF(BR36="","",VLOOKUP(BR36,Parts_Data!$AB$2:$AC$102,2,FALSE))</f>
        <v/>
      </c>
      <c r="BT36" s="64"/>
      <c r="BU36" s="68"/>
      <c r="BV36" s="75"/>
      <c r="BW36" s="115"/>
      <c r="BX36" s="64"/>
      <c r="BY36" s="26" t="str">
        <f>IF(BX36="","",VLOOKUP(BX36,Parts_Data!$AB$2:$AC$102,2,FALSE))</f>
        <v/>
      </c>
      <c r="BZ36" s="64"/>
      <c r="CA36" s="68"/>
      <c r="CB36" s="75"/>
      <c r="CC36" s="115"/>
      <c r="CD36" s="64"/>
      <c r="CE36" s="26" t="str">
        <f>IF(CD36="","",VLOOKUP(CD36,Parts_Data!$AB$2:$AC$102,2,FALSE))</f>
        <v/>
      </c>
      <c r="CF36" s="64"/>
      <c r="CG36" s="68"/>
      <c r="CH36" s="75"/>
      <c r="CI36" s="115"/>
      <c r="CJ36" s="64"/>
      <c r="CK36" s="26" t="str">
        <f>IF(CJ36="","",VLOOKUP(CJ36,Parts_Data!$AB$2:$AC$102,2,FALSE))</f>
        <v/>
      </c>
      <c r="CL36" s="64"/>
      <c r="CM36" s="68"/>
      <c r="CN36" s="75"/>
      <c r="CO36" s="115"/>
      <c r="CP36" s="64"/>
      <c r="CQ36" s="26" t="str">
        <f>IF(CP36="","",VLOOKUP(CP36,Parts_Data!$AB$2:$AC$102,2,FALSE))</f>
        <v/>
      </c>
      <c r="CR36" s="64"/>
      <c r="CS36" s="68"/>
      <c r="CT36" s="75"/>
      <c r="CU36" s="115"/>
      <c r="CV36" s="64"/>
      <c r="CW36" s="26" t="str">
        <f>IF(CV36="","",VLOOKUP(CV36,Parts_Data!$AB$2:$AC$102,2,FALSE))</f>
        <v/>
      </c>
      <c r="CX36" s="64"/>
      <c r="CY36" s="68"/>
      <c r="CZ36" s="75"/>
      <c r="DA36" s="115"/>
      <c r="DB36" s="64"/>
      <c r="DC36" s="26" t="str">
        <f>IF(DB36="","",VLOOKUP(DB36,Parts_Data!$AB$2:$AC$102,2,FALSE))</f>
        <v/>
      </c>
      <c r="DD36" s="64"/>
      <c r="DE36" s="68"/>
      <c r="DF36" s="75"/>
      <c r="DG36" s="115"/>
      <c r="DH36" s="64"/>
      <c r="DI36" s="26" t="str">
        <f>IF(DH36="","",VLOOKUP(DH36,Parts_Data!$AB$2:$AC$102,2,FALSE))</f>
        <v/>
      </c>
      <c r="DJ36" s="64"/>
      <c r="DK36" s="68"/>
      <c r="DL36" s="75"/>
      <c r="DM36" s="115"/>
      <c r="DN36" s="64"/>
      <c r="DO36" s="26" t="str">
        <f>IF(DN36="","",VLOOKUP(DN36,Parts_Data!$AB$2:$AC$102,2,FALSE))</f>
        <v/>
      </c>
      <c r="DP36" s="64"/>
      <c r="DQ36" s="68"/>
      <c r="DR36" s="75"/>
      <c r="DS36" s="115"/>
      <c r="DT36" s="64"/>
      <c r="DU36" s="26" t="str">
        <f>IF(DT36="","",VLOOKUP(DT36,Parts_Data!$AB$2:$AC$102,2,FALSE))</f>
        <v/>
      </c>
      <c r="DV36" s="64"/>
      <c r="DW36" s="68"/>
      <c r="DX36" s="75"/>
      <c r="DY36" s="115"/>
      <c r="DZ36" s="64"/>
      <c r="EA36" s="26" t="str">
        <f>IF(DZ36="","",VLOOKUP(DZ36,Parts_Data!$AB$2:$AC$102,2,FALSE))</f>
        <v/>
      </c>
      <c r="EB36" s="64"/>
      <c r="EC36" s="68"/>
      <c r="ED36" s="75"/>
      <c r="EE36" s="115"/>
      <c r="EF36" s="64"/>
      <c r="EG36" s="26" t="str">
        <f>IF(EF36="","",VLOOKUP(EF36,Parts_Data!$AB$2:$AC$102,2,FALSE))</f>
        <v/>
      </c>
      <c r="EH36" s="64"/>
      <c r="EI36" s="68"/>
      <c r="EJ36" s="75"/>
      <c r="EK36" s="115"/>
      <c r="EL36" s="64"/>
      <c r="EM36" s="26" t="str">
        <f>IF(EL36="","",VLOOKUP(EL36,Parts_Data!$AB$2:$AC$102,2,FALSE))</f>
        <v/>
      </c>
      <c r="EN36" s="64"/>
      <c r="EO36" s="68"/>
      <c r="EP36" s="75"/>
      <c r="EQ36" s="115"/>
      <c r="ER36" s="64"/>
      <c r="ES36" s="26" t="str">
        <f>IF(ER36="","",VLOOKUP(ER36,Parts_Data!$AB$2:$AC$102,2,FALSE))</f>
        <v/>
      </c>
      <c r="ET36" s="64"/>
      <c r="EU36" s="68"/>
      <c r="EV36" s="75"/>
      <c r="EW36" s="115"/>
    </row>
    <row r="37" spans="1:153" ht="16.2" thickBot="1" x14ac:dyDescent="0.35">
      <c r="A37" t="str">
        <f t="shared" si="0"/>
        <v>GR700ES1</v>
      </c>
      <c r="B37" s="50">
        <v>24</v>
      </c>
      <c r="C37" s="54" t="str">
        <f t="shared" si="1"/>
        <v/>
      </c>
      <c r="D37" s="65"/>
      <c r="E37" s="28" t="str">
        <f>IF(D37="","",VLOOKUP(D37,Parts_Data!$AB$2:$AC$102,2,FALSE))</f>
        <v/>
      </c>
      <c r="F37" s="65"/>
      <c r="G37" s="69"/>
      <c r="H37" s="76"/>
      <c r="I37" s="116"/>
      <c r="J37" s="65"/>
      <c r="K37" s="28" t="str">
        <f>IF(J37="","",VLOOKUP(J37,Parts_Data!$AB$2:$AC$102,2,FALSE))</f>
        <v/>
      </c>
      <c r="L37" s="65"/>
      <c r="M37" s="69"/>
      <c r="N37" s="76"/>
      <c r="O37" s="116"/>
      <c r="P37" s="65"/>
      <c r="Q37" s="28" t="str">
        <f>IF(P37="","",VLOOKUP(P37,Parts_Data!$AB$2:$AC$102,2,FALSE))</f>
        <v/>
      </c>
      <c r="R37" s="65"/>
      <c r="S37" s="69"/>
      <c r="T37" s="76"/>
      <c r="U37" s="116"/>
      <c r="V37" s="65"/>
      <c r="W37" s="28" t="str">
        <f>IF(V37="","",VLOOKUP(V37,Parts_Data!$AB$2:$AC$102,2,FALSE))</f>
        <v/>
      </c>
      <c r="X37" s="65"/>
      <c r="Y37" s="69"/>
      <c r="Z37" s="76"/>
      <c r="AA37" s="116"/>
      <c r="AB37" s="65"/>
      <c r="AC37" s="28" t="str">
        <f>IF(AB37="","",VLOOKUP(AB37,Parts_Data!$AB$2:$AC$102,2,FALSE))</f>
        <v/>
      </c>
      <c r="AD37" s="65"/>
      <c r="AE37" s="69"/>
      <c r="AF37" s="76"/>
      <c r="AG37" s="116"/>
      <c r="AH37" s="65"/>
      <c r="AI37" s="28" t="str">
        <f>IF(AH37="","",VLOOKUP(AH37,Parts_Data!$AB$2:$AC$102,2,FALSE))</f>
        <v/>
      </c>
      <c r="AJ37" s="65"/>
      <c r="AK37" s="69"/>
      <c r="AL37" s="76"/>
      <c r="AM37" s="116"/>
      <c r="AN37" s="65"/>
      <c r="AO37" s="28" t="str">
        <f>IF(AN37="","",VLOOKUP(AN37,Parts_Data!$AB$2:$AC$102,2,FALSE))</f>
        <v/>
      </c>
      <c r="AP37" s="65"/>
      <c r="AQ37" s="69"/>
      <c r="AR37" s="76"/>
      <c r="AS37" s="116"/>
      <c r="AT37" s="65"/>
      <c r="AU37" s="28" t="str">
        <f>IF(AT37="","",VLOOKUP(AT37,Parts_Data!$AB$2:$AC$102,2,FALSE))</f>
        <v/>
      </c>
      <c r="AV37" s="65"/>
      <c r="AW37" s="69"/>
      <c r="AX37" s="76"/>
      <c r="AY37" s="116"/>
      <c r="AZ37" s="65"/>
      <c r="BA37" s="28" t="str">
        <f>IF(AZ37="","",VLOOKUP(AZ37,Parts_Data!$AB$2:$AC$102,2,FALSE))</f>
        <v/>
      </c>
      <c r="BB37" s="65"/>
      <c r="BC37" s="69"/>
      <c r="BD37" s="76"/>
      <c r="BE37" s="116"/>
      <c r="BF37" s="65"/>
      <c r="BG37" s="28" t="str">
        <f>IF(BF37="","",VLOOKUP(BF37,Parts_Data!$AB$2:$AC$102,2,FALSE))</f>
        <v/>
      </c>
      <c r="BH37" s="65"/>
      <c r="BI37" s="69"/>
      <c r="BJ37" s="76"/>
      <c r="BK37" s="116"/>
      <c r="BL37" s="65"/>
      <c r="BM37" s="28" t="str">
        <f>IF(BL37="","",VLOOKUP(BL37,Parts_Data!$AB$2:$AC$102,2,FALSE))</f>
        <v/>
      </c>
      <c r="BN37" s="65"/>
      <c r="BO37" s="69"/>
      <c r="BP37" s="76"/>
      <c r="BQ37" s="116"/>
      <c r="BR37" s="65"/>
      <c r="BS37" s="28" t="str">
        <f>IF(BR37="","",VLOOKUP(BR37,Parts_Data!$AB$2:$AC$102,2,FALSE))</f>
        <v/>
      </c>
      <c r="BT37" s="65"/>
      <c r="BU37" s="69"/>
      <c r="BV37" s="76"/>
      <c r="BW37" s="116"/>
      <c r="BX37" s="65"/>
      <c r="BY37" s="28" t="str">
        <f>IF(BX37="","",VLOOKUP(BX37,Parts_Data!$AB$2:$AC$102,2,FALSE))</f>
        <v/>
      </c>
      <c r="BZ37" s="65"/>
      <c r="CA37" s="69"/>
      <c r="CB37" s="76"/>
      <c r="CC37" s="116"/>
      <c r="CD37" s="65"/>
      <c r="CE37" s="28" t="str">
        <f>IF(CD37="","",VLOOKUP(CD37,Parts_Data!$AB$2:$AC$102,2,FALSE))</f>
        <v/>
      </c>
      <c r="CF37" s="65"/>
      <c r="CG37" s="69"/>
      <c r="CH37" s="76"/>
      <c r="CI37" s="116"/>
      <c r="CJ37" s="65"/>
      <c r="CK37" s="28" t="str">
        <f>IF(CJ37="","",VLOOKUP(CJ37,Parts_Data!$AB$2:$AC$102,2,FALSE))</f>
        <v/>
      </c>
      <c r="CL37" s="65"/>
      <c r="CM37" s="69"/>
      <c r="CN37" s="76"/>
      <c r="CO37" s="116"/>
      <c r="CP37" s="65"/>
      <c r="CQ37" s="28" t="str">
        <f>IF(CP37="","",VLOOKUP(CP37,Parts_Data!$AB$2:$AC$102,2,FALSE))</f>
        <v/>
      </c>
      <c r="CR37" s="65"/>
      <c r="CS37" s="69"/>
      <c r="CT37" s="76"/>
      <c r="CU37" s="116"/>
      <c r="CV37" s="65"/>
      <c r="CW37" s="28" t="str">
        <f>IF(CV37="","",VLOOKUP(CV37,Parts_Data!$AB$2:$AC$102,2,FALSE))</f>
        <v/>
      </c>
      <c r="CX37" s="65"/>
      <c r="CY37" s="69"/>
      <c r="CZ37" s="76"/>
      <c r="DA37" s="116"/>
      <c r="DB37" s="65"/>
      <c r="DC37" s="28" t="str">
        <f>IF(DB37="","",VLOOKUP(DB37,Parts_Data!$AB$2:$AC$102,2,FALSE))</f>
        <v/>
      </c>
      <c r="DD37" s="65"/>
      <c r="DE37" s="69"/>
      <c r="DF37" s="76"/>
      <c r="DG37" s="116"/>
      <c r="DH37" s="65"/>
      <c r="DI37" s="28" t="str">
        <f>IF(DH37="","",VLOOKUP(DH37,Parts_Data!$AB$2:$AC$102,2,FALSE))</f>
        <v/>
      </c>
      <c r="DJ37" s="65"/>
      <c r="DK37" s="69"/>
      <c r="DL37" s="76"/>
      <c r="DM37" s="116"/>
      <c r="DN37" s="65"/>
      <c r="DO37" s="28" t="str">
        <f>IF(DN37="","",VLOOKUP(DN37,Parts_Data!$AB$2:$AC$102,2,FALSE))</f>
        <v/>
      </c>
      <c r="DP37" s="65"/>
      <c r="DQ37" s="69"/>
      <c r="DR37" s="76"/>
      <c r="DS37" s="116"/>
      <c r="DT37" s="65"/>
      <c r="DU37" s="28" t="str">
        <f>IF(DT37="","",VLOOKUP(DT37,Parts_Data!$AB$2:$AC$102,2,FALSE))</f>
        <v/>
      </c>
      <c r="DV37" s="65"/>
      <c r="DW37" s="69"/>
      <c r="DX37" s="76"/>
      <c r="DY37" s="116"/>
      <c r="DZ37" s="65"/>
      <c r="EA37" s="28" t="str">
        <f>IF(DZ37="","",VLOOKUP(DZ37,Parts_Data!$AB$2:$AC$102,2,FALSE))</f>
        <v/>
      </c>
      <c r="EB37" s="65"/>
      <c r="EC37" s="69"/>
      <c r="ED37" s="76"/>
      <c r="EE37" s="116"/>
      <c r="EF37" s="65"/>
      <c r="EG37" s="28" t="str">
        <f>IF(EF37="","",VLOOKUP(EF37,Parts_Data!$AB$2:$AC$102,2,FALSE))</f>
        <v/>
      </c>
      <c r="EH37" s="65"/>
      <c r="EI37" s="69"/>
      <c r="EJ37" s="76"/>
      <c r="EK37" s="116"/>
      <c r="EL37" s="65"/>
      <c r="EM37" s="28" t="str">
        <f>IF(EL37="","",VLOOKUP(EL37,Parts_Data!$AB$2:$AC$102,2,FALSE))</f>
        <v/>
      </c>
      <c r="EN37" s="65"/>
      <c r="EO37" s="69"/>
      <c r="EP37" s="76"/>
      <c r="EQ37" s="116"/>
      <c r="ER37" s="65"/>
      <c r="ES37" s="28" t="str">
        <f>IF(ER37="","",VLOOKUP(ER37,Parts_Data!$AB$2:$AC$102,2,FALSE))</f>
        <v/>
      </c>
      <c r="ET37" s="65"/>
      <c r="EU37" s="69"/>
      <c r="EV37" s="76"/>
      <c r="EW37" s="116"/>
    </row>
  </sheetData>
  <sheetProtection algorithmName="SHA-512" hashValue="t7/7vImcr4+uN0B85yQv8qYEYhJRgJZyZnXtqRgciyR8GN/slwG3+XrZKL9rwuAPpf884pXLXS60TIvEnUUkxQ==" saltValue="juyNMBr14RTJ5WV94IU+XQ==" spinCount="100000" sheet="1" objects="1" scenarios="1" formatCells="0" formatColumns="0" formatRows="0" selectLockedCells="1"/>
  <mergeCells count="14">
    <mergeCell ref="D2:D4"/>
    <mergeCell ref="E2:I4"/>
    <mergeCell ref="E6:F6"/>
    <mergeCell ref="G6:H6"/>
    <mergeCell ref="E7:F7"/>
    <mergeCell ref="G7:H7"/>
    <mergeCell ref="E10:F10"/>
    <mergeCell ref="D8:E8"/>
    <mergeCell ref="F8:G8"/>
    <mergeCell ref="H8:I8"/>
    <mergeCell ref="K8:L8"/>
    <mergeCell ref="D9:E9"/>
    <mergeCell ref="F9:G9"/>
    <mergeCell ref="H9:I9"/>
  </mergeCells>
  <phoneticPr fontId="1" type="noConversion"/>
  <dataValidations count="3">
    <dataValidation type="list" allowBlank="1" showInputMessage="1" showErrorMessage="1" sqref="L14:L37 R14:R37 F14:F37 X14:X37 AD14:AD37 AJ14:AJ37 AP14:AP37 AV14:AV37 BB14:BB37 BH14:BH37 BN14:BN37 BT14:BT37 BZ14:BZ37 CF14:CF37 CL14:CL37 CR14:CR37 CX14:CX37 DD14:DD37 DJ14:DJ37 DP14:DP37 DV14:DV37 EB14:EB37 EH14:EH37 EN14:EN37 ET14:ET37" xr:uid="{C5238FBC-228F-4806-9920-4CA3D58A49FF}">
      <formula1>INDIRECT($G$12)</formula1>
    </dataValidation>
    <dataValidation type="list" allowBlank="1" showInputMessage="1" showErrorMessage="1" sqref="D14:D37 J14:J37 P14:P37 V14:V37 AB14:AB37 AH14:AH37 AN14:AN37 AT14:AT37 AZ14:AZ37 BF14:BF37 BL14:BL37 BR14:BR37 BX14:BX37 CD14:CD37 CJ14:CJ37 CP14:CP37 CV14:CV37 DB14:DB37 DH14:DH37 DN14:DN37 DT14:DT37 DZ14:DZ37 EF14:EF37 EL14:EL37 ER14:ER37" xr:uid="{3C7AE08D-1CC2-4D2D-A650-72D4FD618B04}">
      <formula1>INDIRECT($E$12)</formula1>
    </dataValidation>
    <dataValidation type="list" allowBlank="1" showInputMessage="1" showErrorMessage="1" sqref="D9:E9" xr:uid="{EC0C961E-BC2E-41D0-B70B-E556ACDC3E79}">
      <formula1>INDIRECT($B$9)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DE85D-B035-44AB-9442-E4CFB947ED97}">
  <sheetPr codeName="Sheet5"/>
  <dimension ref="A1:J59"/>
  <sheetViews>
    <sheetView showGridLines="0" zoomScaleNormal="100" workbookViewId="0">
      <pane ySplit="11" topLeftCell="A28" activePane="bottomLeft" state="frozen"/>
      <selection activeCell="F25" sqref="F25"/>
      <selection pane="bottomLeft" activeCell="J44" sqref="J44"/>
    </sheetView>
  </sheetViews>
  <sheetFormatPr defaultColWidth="11.109375" defaultRowHeight="14.4" x14ac:dyDescent="0.3"/>
  <cols>
    <col min="1" max="2" width="16.44140625" bestFit="1" customWidth="1"/>
    <col min="3" max="3" width="11.5546875" bestFit="1" customWidth="1"/>
    <col min="4" max="4" width="17.109375" bestFit="1" customWidth="1"/>
    <col min="5" max="5" width="26.33203125" bestFit="1" customWidth="1"/>
    <col min="6" max="6" width="23.6640625" customWidth="1"/>
    <col min="7" max="7" width="17.109375" bestFit="1" customWidth="1"/>
    <col min="8" max="8" width="18.21875" customWidth="1"/>
    <col min="9" max="9" width="13.6640625" customWidth="1"/>
    <col min="10" max="10" width="23.6640625" customWidth="1"/>
  </cols>
  <sheetData>
    <row r="1" spans="1:10" x14ac:dyDescent="0.3">
      <c r="A1" s="103"/>
      <c r="B1" s="7"/>
      <c r="C1" s="7"/>
      <c r="D1" s="7"/>
      <c r="E1" s="7"/>
      <c r="F1" s="7"/>
      <c r="G1" s="7"/>
    </row>
    <row r="2" spans="1:10" x14ac:dyDescent="0.3">
      <c r="A2" s="104" t="s">
        <v>246</v>
      </c>
      <c r="B2" s="182"/>
      <c r="C2" s="183" t="s">
        <v>282</v>
      </c>
      <c r="D2" s="183"/>
      <c r="E2" s="183"/>
      <c r="F2" s="183"/>
      <c r="G2" s="183"/>
    </row>
    <row r="3" spans="1:10" x14ac:dyDescent="0.3">
      <c r="A3" s="103"/>
      <c r="B3" s="182"/>
      <c r="C3" s="183"/>
      <c r="D3" s="183"/>
      <c r="E3" s="183"/>
      <c r="F3" s="183"/>
      <c r="G3" s="183"/>
    </row>
    <row r="4" spans="1:10" ht="15" thickBot="1" x14ac:dyDescent="0.35">
      <c r="A4" s="103"/>
      <c r="B4" s="182"/>
      <c r="C4" s="183"/>
      <c r="D4" s="183"/>
      <c r="E4" s="183"/>
      <c r="F4" s="183"/>
      <c r="G4" s="183"/>
    </row>
    <row r="5" spans="1:10" ht="4.5" customHeight="1" thickBot="1" x14ac:dyDescent="0.35">
      <c r="A5" s="103"/>
      <c r="B5" s="120"/>
      <c r="C5" s="118"/>
      <c r="D5" s="118"/>
      <c r="E5" s="118"/>
      <c r="F5" s="118"/>
      <c r="G5" s="119"/>
    </row>
    <row r="6" spans="1:10" ht="18" x14ac:dyDescent="0.35">
      <c r="A6" s="103"/>
      <c r="B6" s="13" t="s">
        <v>44</v>
      </c>
      <c r="C6" s="218" t="s">
        <v>51</v>
      </c>
      <c r="D6" s="218"/>
      <c r="E6" s="218" t="s">
        <v>48</v>
      </c>
      <c r="F6" s="218"/>
      <c r="G6" s="10" t="s">
        <v>45</v>
      </c>
    </row>
    <row r="7" spans="1:10" ht="15.6" x14ac:dyDescent="0.3">
      <c r="A7" s="103"/>
      <c r="B7" s="79">
        <f ca="1">TODAY()</f>
        <v>44979</v>
      </c>
      <c r="C7" s="197" t="str">
        <f>CoverSheet!C7</f>
        <v>GR700</v>
      </c>
      <c r="D7" s="197"/>
      <c r="E7" s="197" t="str">
        <f>CoverSheet!E7</f>
        <v>WD-OR-VAC-GR700</v>
      </c>
      <c r="F7" s="197"/>
      <c r="G7" s="80" t="str">
        <f>CoverSheet!G7</f>
        <v>Saba Saba</v>
      </c>
    </row>
    <row r="8" spans="1:10" ht="15" thickBot="1" x14ac:dyDescent="0.35">
      <c r="A8" s="103"/>
      <c r="B8" s="133"/>
      <c r="C8" s="134"/>
      <c r="D8" s="134"/>
      <c r="E8" s="134"/>
      <c r="F8" s="134"/>
      <c r="G8" s="135" t="str">
        <f>CoverSheet!G11</f>
        <v>v1.2.1</v>
      </c>
    </row>
    <row r="9" spans="1:10" ht="4.5" customHeight="1" thickBot="1" x14ac:dyDescent="0.4">
      <c r="A9" s="103"/>
      <c r="B9" s="127"/>
      <c r="C9" s="128"/>
      <c r="D9" s="128"/>
      <c r="E9" s="128"/>
      <c r="F9" s="128"/>
      <c r="G9" s="129"/>
    </row>
    <row r="10" spans="1:10" ht="9" hidden="1" customHeight="1" thickBot="1" x14ac:dyDescent="0.35">
      <c r="F10" t="s">
        <v>273</v>
      </c>
      <c r="H10" t="s">
        <v>281</v>
      </c>
    </row>
    <row r="11" spans="1:10" ht="36.6" thickBot="1" x14ac:dyDescent="0.35">
      <c r="A11" s="48" t="s">
        <v>272</v>
      </c>
      <c r="B11" s="36" t="s">
        <v>270</v>
      </c>
      <c r="C11" s="36" t="s">
        <v>271</v>
      </c>
      <c r="D11" s="36" t="s">
        <v>269</v>
      </c>
      <c r="E11" s="36" t="s">
        <v>35</v>
      </c>
      <c r="F11" s="36" t="s">
        <v>34</v>
      </c>
      <c r="G11" s="36" t="s">
        <v>35</v>
      </c>
      <c r="H11" s="36" t="s">
        <v>267</v>
      </c>
      <c r="I11" s="51" t="s">
        <v>138</v>
      </c>
      <c r="J11" s="35" t="s">
        <v>35</v>
      </c>
    </row>
    <row r="12" spans="1:10" ht="15.6" hidden="1" x14ac:dyDescent="0.3">
      <c r="A12" s="209" t="s">
        <v>268</v>
      </c>
      <c r="B12" s="57">
        <v>0</v>
      </c>
      <c r="C12" s="77"/>
      <c r="D12" s="212"/>
      <c r="E12" s="56" t="str">
        <f>IF(D12="Yes",VLOOKUP($D$11,Parts_Data!$AH$3:$AJ$102,2,FALSE),"")</f>
        <v/>
      </c>
      <c r="F12" s="77"/>
      <c r="G12" s="56" t="str">
        <f>IF(F12="","",VLOOKUP(F12,Parts_Data!$AH$3:$AJ$102,2,FALSE))</f>
        <v/>
      </c>
      <c r="H12" s="77"/>
      <c r="I12" s="78"/>
      <c r="J12" s="96" t="str">
        <f>IF(H12="","",VLOOKUP(H12,Parts_Data!$AL$3:$AN$102,2,FALSE))</f>
        <v/>
      </c>
    </row>
    <row r="13" spans="1:10" ht="15.6" hidden="1" x14ac:dyDescent="0.3">
      <c r="A13" s="210"/>
      <c r="B13" s="24">
        <v>1</v>
      </c>
      <c r="C13" s="67"/>
      <c r="D13" s="213"/>
      <c r="E13" s="21"/>
      <c r="F13" s="67"/>
      <c r="G13" s="21" t="str">
        <f>IF(F13="","",VLOOKUP(F13,Parts_Data!$AH$3:$AJ$102,2,FALSE))</f>
        <v/>
      </c>
      <c r="H13" s="67"/>
      <c r="I13" s="70"/>
      <c r="J13" s="93" t="str">
        <f>IF(H13="","",VLOOKUP(H13,Parts_Data!$AL$3:$AN$102,2,FALSE))</f>
        <v/>
      </c>
    </row>
    <row r="14" spans="1:10" ht="15.6" hidden="1" x14ac:dyDescent="0.3">
      <c r="A14" s="210"/>
      <c r="B14" s="23">
        <v>2</v>
      </c>
      <c r="C14" s="68"/>
      <c r="D14" s="214"/>
      <c r="E14" s="20" t="str">
        <f>IF(D14="Yes",VLOOKUP($D$11,Parts_Data!$AH$3:$AJ$102,2,FALSE),"")</f>
        <v/>
      </c>
      <c r="F14" s="68"/>
      <c r="G14" s="20" t="str">
        <f>IF(F14="","",VLOOKUP(F14,Parts_Data!$AH$3:$AJ$102,2,FALSE))</f>
        <v/>
      </c>
      <c r="H14" s="68"/>
      <c r="I14" s="71"/>
      <c r="J14" s="94" t="str">
        <f>IF(H14="","",VLOOKUP(H14,Parts_Data!$AL$3:$AN$102,2,FALSE))</f>
        <v/>
      </c>
    </row>
    <row r="15" spans="1:10" ht="15.6" hidden="1" x14ac:dyDescent="0.3">
      <c r="A15" s="210"/>
      <c r="B15" s="24">
        <v>3</v>
      </c>
      <c r="C15" s="67"/>
      <c r="D15" s="215"/>
      <c r="E15" s="21"/>
      <c r="F15" s="67"/>
      <c r="G15" s="21" t="str">
        <f>IF(F15="","",VLOOKUP(F15,Parts_Data!$AH$3:$AJ$102,2,FALSE))</f>
        <v/>
      </c>
      <c r="H15" s="67"/>
      <c r="I15" s="70"/>
      <c r="J15" s="93" t="str">
        <f>IF(H15="","",VLOOKUP(H15,Parts_Data!$AL$3:$AN$102,2,FALSE))</f>
        <v/>
      </c>
    </row>
    <row r="16" spans="1:10" ht="15.6" hidden="1" x14ac:dyDescent="0.3">
      <c r="A16" s="210"/>
      <c r="B16" s="23">
        <v>4</v>
      </c>
      <c r="C16" s="68"/>
      <c r="D16" s="216"/>
      <c r="E16" s="20" t="str">
        <f>IF(D16="Yes",VLOOKUP($D$11,Parts_Data!$AH$3:$AJ$102,2,FALSE),"")</f>
        <v/>
      </c>
      <c r="F16" s="68"/>
      <c r="G16" s="20" t="str">
        <f>IF(F16="","",VLOOKUP(F16,Parts_Data!$AH$3:$AJ$102,2,FALSE))</f>
        <v/>
      </c>
      <c r="H16" s="68"/>
      <c r="I16" s="71"/>
      <c r="J16" s="94" t="str">
        <f>IF(H16="","",VLOOKUP(H16,Parts_Data!$AL$3:$AN$102,2,FALSE))</f>
        <v/>
      </c>
    </row>
    <row r="17" spans="1:10" ht="15.6" hidden="1" x14ac:dyDescent="0.3">
      <c r="A17" s="210"/>
      <c r="B17" s="24">
        <v>5</v>
      </c>
      <c r="C17" s="67"/>
      <c r="D17" s="213"/>
      <c r="E17" s="21"/>
      <c r="F17" s="67"/>
      <c r="G17" s="21" t="str">
        <f>IF(F17="","",VLOOKUP(F17,Parts_Data!$AH$3:$AJ$102,2,FALSE))</f>
        <v/>
      </c>
      <c r="H17" s="67"/>
      <c r="I17" s="70"/>
      <c r="J17" s="93" t="str">
        <f>IF(H17="","",VLOOKUP(H17,Parts_Data!$AL$3:$AN$102,2,FALSE))</f>
        <v/>
      </c>
    </row>
    <row r="18" spans="1:10" ht="15.6" hidden="1" x14ac:dyDescent="0.3">
      <c r="A18" s="210"/>
      <c r="B18" s="23">
        <v>6</v>
      </c>
      <c r="C18" s="68"/>
      <c r="D18" s="214"/>
      <c r="E18" s="20" t="str">
        <f>IF(D18="Yes",VLOOKUP($D$11,Parts_Data!$AH$3:$AJ$102,2,FALSE),"")</f>
        <v/>
      </c>
      <c r="F18" s="68"/>
      <c r="G18" s="20" t="str">
        <f>IF(F18="","",VLOOKUP(F18,Parts_Data!$AH$3:$AJ$102,2,FALSE))</f>
        <v/>
      </c>
      <c r="H18" s="68"/>
      <c r="I18" s="71"/>
      <c r="J18" s="94" t="str">
        <f>IF(H18="","",VLOOKUP(H18,Parts_Data!$AL$3:$AN$102,2,FALSE))</f>
        <v/>
      </c>
    </row>
    <row r="19" spans="1:10" ht="15.6" hidden="1" x14ac:dyDescent="0.3">
      <c r="A19" s="210"/>
      <c r="B19" s="24">
        <v>7</v>
      </c>
      <c r="C19" s="67"/>
      <c r="D19" s="215"/>
      <c r="E19" s="21"/>
      <c r="F19" s="67"/>
      <c r="G19" s="21" t="str">
        <f>IF(F19="","",VLOOKUP(F19,Parts_Data!$AH$3:$AJ$102,2,FALSE))</f>
        <v/>
      </c>
      <c r="H19" s="67"/>
      <c r="I19" s="70"/>
      <c r="J19" s="93" t="str">
        <f>IF(H19="","",VLOOKUP(H19,Parts_Data!$AL$3:$AN$102,2,FALSE))</f>
        <v/>
      </c>
    </row>
    <row r="20" spans="1:10" ht="15.6" hidden="1" x14ac:dyDescent="0.3">
      <c r="A20" s="210"/>
      <c r="B20" s="23">
        <v>8</v>
      </c>
      <c r="C20" s="68"/>
      <c r="D20" s="216"/>
      <c r="E20" s="20" t="str">
        <f>IF(D20="Yes",VLOOKUP($D$11,Parts_Data!$AH$3:$AJ$102,2,FALSE),"")</f>
        <v/>
      </c>
      <c r="F20" s="68"/>
      <c r="G20" s="20" t="str">
        <f>IF(F20="","",VLOOKUP(F20,Parts_Data!$AH$3:$AJ$102,2,FALSE))</f>
        <v/>
      </c>
      <c r="H20" s="68"/>
      <c r="I20" s="71"/>
      <c r="J20" s="94" t="str">
        <f>IF(H20="","",VLOOKUP(H20,Parts_Data!$AL$3:$AN$102,2,FALSE))</f>
        <v/>
      </c>
    </row>
    <row r="21" spans="1:10" ht="15.6" hidden="1" x14ac:dyDescent="0.3">
      <c r="A21" s="210"/>
      <c r="B21" s="24">
        <v>9</v>
      </c>
      <c r="C21" s="67"/>
      <c r="D21" s="213"/>
      <c r="E21" s="21"/>
      <c r="F21" s="67"/>
      <c r="G21" s="21" t="str">
        <f>IF(F21="","",VLOOKUP(F21,Parts_Data!$AH$3:$AJ$102,2,FALSE))</f>
        <v/>
      </c>
      <c r="H21" s="67"/>
      <c r="I21" s="70"/>
      <c r="J21" s="93" t="str">
        <f>IF(H21="","",VLOOKUP(H21,Parts_Data!$AL$3:$AN$102,2,FALSE))</f>
        <v/>
      </c>
    </row>
    <row r="22" spans="1:10" ht="15.6" hidden="1" x14ac:dyDescent="0.3">
      <c r="A22" s="210"/>
      <c r="B22" s="23">
        <v>10</v>
      </c>
      <c r="C22" s="68"/>
      <c r="D22" s="214"/>
      <c r="E22" s="20" t="str">
        <f>IF(D22="Yes",VLOOKUP($D$11,Parts_Data!$AH$3:$AJ$102,2,FALSE),"")</f>
        <v/>
      </c>
      <c r="F22" s="68"/>
      <c r="G22" s="20" t="str">
        <f>IF(F22="","",VLOOKUP(F22,Parts_Data!$AH$3:$AJ$102,2,FALSE))</f>
        <v/>
      </c>
      <c r="H22" s="68"/>
      <c r="I22" s="71"/>
      <c r="J22" s="94" t="str">
        <f>IF(H22="","",VLOOKUP(H22,Parts_Data!$AL$3:$AN$102,2,FALSE))</f>
        <v/>
      </c>
    </row>
    <row r="23" spans="1:10" ht="15.6" hidden="1" x14ac:dyDescent="0.3">
      <c r="A23" s="210"/>
      <c r="B23" s="24">
        <v>11</v>
      </c>
      <c r="C23" s="67"/>
      <c r="D23" s="215"/>
      <c r="E23" s="21"/>
      <c r="F23" s="67"/>
      <c r="G23" s="21" t="str">
        <f>IF(F23="","",VLOOKUP(F23,Parts_Data!$AH$3:$AJ$102,2,FALSE))</f>
        <v/>
      </c>
      <c r="H23" s="67"/>
      <c r="I23" s="70"/>
      <c r="J23" s="93" t="str">
        <f>IF(H23="","",VLOOKUP(H23,Parts_Data!$AL$3:$AN$102,2,FALSE))</f>
        <v/>
      </c>
    </row>
    <row r="24" spans="1:10" ht="15.6" hidden="1" x14ac:dyDescent="0.3">
      <c r="A24" s="210"/>
      <c r="B24" s="23">
        <v>12</v>
      </c>
      <c r="C24" s="68"/>
      <c r="D24" s="216"/>
      <c r="E24" s="20" t="str">
        <f>IF(D24="Yes",VLOOKUP($D$11,Parts_Data!$AH$3:$AJ$102,2,FALSE),"")</f>
        <v/>
      </c>
      <c r="F24" s="68"/>
      <c r="G24" s="20" t="str">
        <f>IF(F24="","",VLOOKUP(F24,Parts_Data!$AH$3:$AJ$102,2,FALSE))</f>
        <v/>
      </c>
      <c r="H24" s="68"/>
      <c r="I24" s="71"/>
      <c r="J24" s="94" t="str">
        <f>IF(H24="","",VLOOKUP(H24,Parts_Data!$AL$3:$AN$102,2,FALSE))</f>
        <v/>
      </c>
    </row>
    <row r="25" spans="1:10" ht="15.6" hidden="1" x14ac:dyDescent="0.3">
      <c r="A25" s="210"/>
      <c r="B25" s="24">
        <v>13</v>
      </c>
      <c r="C25" s="67"/>
      <c r="D25" s="213"/>
      <c r="E25" s="21"/>
      <c r="F25" s="67"/>
      <c r="G25" s="21" t="str">
        <f>IF(F25="","",VLOOKUP(F25,Parts_Data!$AH$3:$AJ$102,2,FALSE))</f>
        <v/>
      </c>
      <c r="H25" s="67"/>
      <c r="I25" s="70"/>
      <c r="J25" s="93" t="str">
        <f>IF(H25="","",VLOOKUP(H25,Parts_Data!$AL$3:$AN$102,2,FALSE))</f>
        <v/>
      </c>
    </row>
    <row r="26" spans="1:10" ht="15.6" hidden="1" x14ac:dyDescent="0.3">
      <c r="A26" s="210"/>
      <c r="B26" s="23">
        <v>14</v>
      </c>
      <c r="C26" s="68"/>
      <c r="D26" s="214"/>
      <c r="E26" s="20" t="str">
        <f>IF(D26="Yes",VLOOKUP($D$11,Parts_Data!$AH$3:$AJ$102,2,FALSE),"")</f>
        <v/>
      </c>
      <c r="F26" s="68"/>
      <c r="G26" s="20" t="str">
        <f>IF(F26="","",VLOOKUP(F26,Parts_Data!$AH$3:$AJ$102,2,FALSE))</f>
        <v/>
      </c>
      <c r="H26" s="68"/>
      <c r="I26" s="71"/>
      <c r="J26" s="94" t="str">
        <f>IF(H26="","",VLOOKUP(H26,Parts_Data!$AL$3:$AN$102,2,FALSE))</f>
        <v/>
      </c>
    </row>
    <row r="27" spans="1:10" ht="16.2" hidden="1" thickBot="1" x14ac:dyDescent="0.35">
      <c r="A27" s="211"/>
      <c r="B27" s="25">
        <v>15</v>
      </c>
      <c r="C27" s="69"/>
      <c r="D27" s="217"/>
      <c r="E27" s="22"/>
      <c r="F27" s="69"/>
      <c r="G27" s="22" t="str">
        <f>IF(F27="","",VLOOKUP(F27,Parts_Data!$AH$3:$AJ$102,2,FALSE))</f>
        <v/>
      </c>
      <c r="H27" s="69"/>
      <c r="I27" s="72"/>
      <c r="J27" s="95" t="str">
        <f>IF(H27="","",VLOOKUP(H27,Parts_Data!$AL$3:$AN$102,2,FALSE))</f>
        <v/>
      </c>
    </row>
    <row r="28" spans="1:10" ht="15.6" x14ac:dyDescent="0.3">
      <c r="A28" s="209" t="s">
        <v>658</v>
      </c>
      <c r="B28" s="57">
        <v>0</v>
      </c>
      <c r="C28" s="77" t="s">
        <v>285</v>
      </c>
      <c r="D28" s="212" t="s">
        <v>290</v>
      </c>
      <c r="E28" s="56" t="str">
        <f>IF(D28="Yes",VLOOKUP($D$11,Parts_Data!$AH$3:$AJ$102,2,FALSE),"")</f>
        <v/>
      </c>
      <c r="F28" s="77"/>
      <c r="G28" s="56" t="str">
        <f>IF(F28="","",VLOOKUP(F28,Parts_Data!$AH$3:$AJ$102,2,FALSE))</f>
        <v/>
      </c>
      <c r="H28" s="77" t="s">
        <v>258</v>
      </c>
      <c r="I28" s="78" t="s">
        <v>657</v>
      </c>
      <c r="J28" s="117">
        <f>IF(H28="","",VLOOKUP(H28,Parts_Data!$AL$3:$AN$102,2,FALSE))</f>
        <v>64441</v>
      </c>
    </row>
    <row r="29" spans="1:10" ht="15.6" x14ac:dyDescent="0.3">
      <c r="A29" s="210"/>
      <c r="B29" s="24">
        <v>1</v>
      </c>
      <c r="C29" s="67" t="s">
        <v>285</v>
      </c>
      <c r="D29" s="213"/>
      <c r="E29" s="21"/>
      <c r="F29" s="67"/>
      <c r="G29" s="21" t="str">
        <f>IF(F29="","",VLOOKUP(F29,Parts_Data!$AH$3:$AJ$102,2,FALSE))</f>
        <v/>
      </c>
      <c r="H29" s="67"/>
      <c r="I29" s="70" t="s">
        <v>657</v>
      </c>
      <c r="J29" s="27" t="str">
        <f>IF(H29="","",VLOOKUP(H29,Parts_Data!$AL$3:$AN$102,2,FALSE))</f>
        <v/>
      </c>
    </row>
    <row r="30" spans="1:10" ht="15.6" x14ac:dyDescent="0.3">
      <c r="A30" s="210"/>
      <c r="B30" s="23">
        <v>2</v>
      </c>
      <c r="C30" s="68" t="s">
        <v>285</v>
      </c>
      <c r="D30" s="214" t="s">
        <v>290</v>
      </c>
      <c r="E30" s="20" t="str">
        <f>IF(D30="Yes",VLOOKUP($D$11,Parts_Data!$AH$3:$AJ$102,2,FALSE),"")</f>
        <v/>
      </c>
      <c r="F30" s="68"/>
      <c r="G30" s="20" t="str">
        <f>IF(F30="","",VLOOKUP(F30,Parts_Data!$AH$3:$AJ$102,2,FALSE))</f>
        <v/>
      </c>
      <c r="H30" s="68" t="s">
        <v>258</v>
      </c>
      <c r="I30" s="71" t="s">
        <v>657</v>
      </c>
      <c r="J30" s="26">
        <f>IF(H30="","",VLOOKUP(H30,Parts_Data!$AL$3:$AN$102,2,FALSE))</f>
        <v>64441</v>
      </c>
    </row>
    <row r="31" spans="1:10" ht="15.6" x14ac:dyDescent="0.3">
      <c r="A31" s="210"/>
      <c r="B31" s="24">
        <v>3</v>
      </c>
      <c r="C31" s="67" t="s">
        <v>285</v>
      </c>
      <c r="D31" s="215"/>
      <c r="E31" s="21"/>
      <c r="F31" s="67"/>
      <c r="G31" s="21" t="str">
        <f>IF(F31="","",VLOOKUP(F31,Parts_Data!$AH$3:$AJ$102,2,FALSE))</f>
        <v/>
      </c>
      <c r="H31" s="67"/>
      <c r="I31" s="70" t="s">
        <v>657</v>
      </c>
      <c r="J31" s="27" t="str">
        <f>IF(H31="","",VLOOKUP(H31,Parts_Data!$AL$3:$AN$102,2,FALSE))</f>
        <v/>
      </c>
    </row>
    <row r="32" spans="1:10" ht="15.6" x14ac:dyDescent="0.3">
      <c r="A32" s="210"/>
      <c r="B32" s="23">
        <v>4</v>
      </c>
      <c r="C32" s="68" t="s">
        <v>285</v>
      </c>
      <c r="D32" s="216" t="s">
        <v>290</v>
      </c>
      <c r="E32" s="20" t="str">
        <f>IF(D32="Yes",VLOOKUP($D$11,Parts_Data!$AH$3:$AJ$102,2,FALSE),"")</f>
        <v/>
      </c>
      <c r="F32" s="68"/>
      <c r="G32" s="20" t="str">
        <f>IF(F32="","",VLOOKUP(F32,Parts_Data!$AH$3:$AJ$102,2,FALSE))</f>
        <v/>
      </c>
      <c r="H32" s="68" t="s">
        <v>670</v>
      </c>
      <c r="I32" s="71" t="s">
        <v>671</v>
      </c>
      <c r="J32" s="26">
        <f>IF(H32="","",VLOOKUP(H32,Parts_Data!$AL$3:$AN$102,2,FALSE))</f>
        <v>1116164</v>
      </c>
    </row>
    <row r="33" spans="1:10" ht="15.6" x14ac:dyDescent="0.3">
      <c r="A33" s="210"/>
      <c r="B33" s="24">
        <v>5</v>
      </c>
      <c r="C33" s="67" t="s">
        <v>285</v>
      </c>
      <c r="D33" s="213"/>
      <c r="E33" s="21"/>
      <c r="F33" s="67"/>
      <c r="G33" s="21" t="str">
        <f>IF(F33="","",VLOOKUP(F33,Parts_Data!$AH$3:$AJ$102,2,FALSE))</f>
        <v/>
      </c>
      <c r="H33" s="67" t="s">
        <v>670</v>
      </c>
      <c r="I33" s="70" t="s">
        <v>671</v>
      </c>
      <c r="J33" s="27">
        <f>IF(H33="","",VLOOKUP(H33,Parts_Data!$AL$3:$AN$102,2,FALSE))</f>
        <v>1116164</v>
      </c>
    </row>
    <row r="34" spans="1:10" ht="15.6" x14ac:dyDescent="0.3">
      <c r="A34" s="210"/>
      <c r="B34" s="23">
        <v>6</v>
      </c>
      <c r="C34" s="68" t="s">
        <v>285</v>
      </c>
      <c r="D34" s="214" t="s">
        <v>290</v>
      </c>
      <c r="E34" s="20" t="str">
        <f>IF(D34="Yes",VLOOKUP($D$11,Parts_Data!$AH$3:$AJ$102,2,FALSE),"")</f>
        <v/>
      </c>
      <c r="F34" s="68"/>
      <c r="G34" s="20" t="str">
        <f>IF(F34="","",VLOOKUP(F34,Parts_Data!$AH$3:$AJ$102,2,FALSE))</f>
        <v/>
      </c>
      <c r="H34" s="68"/>
      <c r="I34" s="71" t="s">
        <v>649</v>
      </c>
      <c r="J34" s="26" t="str">
        <f>IF(H34="","",VLOOKUP(H34,Parts_Data!$AL$3:$AN$102,2,FALSE))</f>
        <v/>
      </c>
    </row>
    <row r="35" spans="1:10" ht="15.6" x14ac:dyDescent="0.3">
      <c r="A35" s="210"/>
      <c r="B35" s="24">
        <v>7</v>
      </c>
      <c r="C35" s="67" t="s">
        <v>285</v>
      </c>
      <c r="D35" s="215"/>
      <c r="E35" s="21"/>
      <c r="F35" s="67"/>
      <c r="G35" s="21" t="str">
        <f>IF(F35="","",VLOOKUP(F35,Parts_Data!$AH$3:$AJ$102,2,FALSE))</f>
        <v/>
      </c>
      <c r="H35" s="67"/>
      <c r="I35" s="70"/>
      <c r="J35" s="27" t="str">
        <f>IF(H35="","",VLOOKUP(H35,Parts_Data!$AL$3:$AN$102,2,FALSE))</f>
        <v/>
      </c>
    </row>
    <row r="36" spans="1:10" ht="15.6" x14ac:dyDescent="0.3">
      <c r="A36" s="210"/>
      <c r="B36" s="23">
        <v>8</v>
      </c>
      <c r="C36" s="67" t="s">
        <v>285</v>
      </c>
      <c r="D36" s="216" t="s">
        <v>290</v>
      </c>
      <c r="E36" s="20" t="str">
        <f>IF(D36="Yes",VLOOKUP($D$11,Parts_Data!$AH$3:$AJ$102,2,FALSE),"")</f>
        <v/>
      </c>
      <c r="F36" s="68"/>
      <c r="G36" s="20" t="str">
        <f>IF(F36="","",VLOOKUP(F36,Parts_Data!$AH$3:$AJ$102,2,FALSE))</f>
        <v/>
      </c>
      <c r="H36" s="68" t="s">
        <v>414</v>
      </c>
      <c r="I36" s="71" t="s">
        <v>649</v>
      </c>
      <c r="J36" s="26">
        <f>IF(H36="","",VLOOKUP(H36,Parts_Data!$AL$3:$AN$102,2,FALSE))</f>
        <v>15716</v>
      </c>
    </row>
    <row r="37" spans="1:10" ht="15.6" x14ac:dyDescent="0.3">
      <c r="A37" s="210"/>
      <c r="B37" s="24">
        <v>9</v>
      </c>
      <c r="C37" s="67" t="s">
        <v>285</v>
      </c>
      <c r="D37" s="213"/>
      <c r="E37" s="21"/>
      <c r="F37" s="67"/>
      <c r="G37" s="21" t="str">
        <f>IF(F37="","",VLOOKUP(F37,Parts_Data!$AH$3:$AJ$102,2,FALSE))</f>
        <v/>
      </c>
      <c r="H37" s="67"/>
      <c r="I37" s="70"/>
      <c r="J37" s="27" t="str">
        <f>IF(H37="","",VLOOKUP(H37,Parts_Data!$AL$3:$AN$102,2,FALSE))</f>
        <v/>
      </c>
    </row>
    <row r="38" spans="1:10" ht="15.6" x14ac:dyDescent="0.3">
      <c r="A38" s="210"/>
      <c r="B38" s="23">
        <v>10</v>
      </c>
      <c r="C38" s="67" t="s">
        <v>285</v>
      </c>
      <c r="D38" s="214" t="s">
        <v>290</v>
      </c>
      <c r="E38" s="20" t="str">
        <f>IF(D38="Yes",VLOOKUP($D$11,Parts_Data!$AH$3:$AJ$102,2,FALSE),"")</f>
        <v/>
      </c>
      <c r="F38" s="68"/>
      <c r="G38" s="20" t="str">
        <f>IF(F38="","",VLOOKUP(F38,Parts_Data!$AH$3:$AJ$102,2,FALSE))</f>
        <v/>
      </c>
      <c r="H38" s="68" t="s">
        <v>414</v>
      </c>
      <c r="I38" s="71" t="s">
        <v>649</v>
      </c>
      <c r="J38" s="26">
        <f>IF(H38="","",VLOOKUP(H38,Parts_Data!$AL$3:$AN$102,2,FALSE))</f>
        <v>15716</v>
      </c>
    </row>
    <row r="39" spans="1:10" ht="15.6" x14ac:dyDescent="0.3">
      <c r="A39" s="210"/>
      <c r="B39" s="24">
        <v>11</v>
      </c>
      <c r="C39" s="67" t="s">
        <v>285</v>
      </c>
      <c r="D39" s="215"/>
      <c r="E39" s="21"/>
      <c r="F39" s="67"/>
      <c r="G39" s="21" t="str">
        <f>IF(F39="","",VLOOKUP(F39,Parts_Data!$AH$3:$AJ$102,2,FALSE))</f>
        <v/>
      </c>
      <c r="H39" s="67"/>
      <c r="I39" s="70"/>
      <c r="J39" s="27" t="str">
        <f>IF(H39="","",VLOOKUP(H39,Parts_Data!$AL$3:$AN$102,2,FALSE))</f>
        <v/>
      </c>
    </row>
    <row r="40" spans="1:10" ht="15.6" x14ac:dyDescent="0.3">
      <c r="A40" s="210"/>
      <c r="B40" s="23">
        <v>12</v>
      </c>
      <c r="C40" s="67" t="s">
        <v>285</v>
      </c>
      <c r="D40" s="216" t="s">
        <v>290</v>
      </c>
      <c r="E40" s="20" t="str">
        <f>IF(D40="Yes",VLOOKUP($D$11,Parts_Data!$AH$3:$AJ$102,2,FALSE),"")</f>
        <v/>
      </c>
      <c r="F40" s="68"/>
      <c r="G40" s="20" t="str">
        <f>IF(F40="","",VLOOKUP(F40,Parts_Data!$AH$3:$AJ$102,2,FALSE))</f>
        <v/>
      </c>
      <c r="H40" s="68" t="s">
        <v>414</v>
      </c>
      <c r="I40" s="71" t="s">
        <v>649</v>
      </c>
      <c r="J40" s="26">
        <f>IF(H40="","",VLOOKUP(H40,Parts_Data!$AL$3:$AN$102,2,FALSE))</f>
        <v>15716</v>
      </c>
    </row>
    <row r="41" spans="1:10" ht="15.6" x14ac:dyDescent="0.3">
      <c r="A41" s="210"/>
      <c r="B41" s="24">
        <v>13</v>
      </c>
      <c r="C41" s="67" t="s">
        <v>285</v>
      </c>
      <c r="D41" s="213"/>
      <c r="E41" s="21"/>
      <c r="F41" s="67"/>
      <c r="G41" s="21" t="str">
        <f>IF(F41="","",VLOOKUP(F41,Parts_Data!$AH$3:$AJ$102,2,FALSE))</f>
        <v/>
      </c>
      <c r="H41" s="67"/>
      <c r="I41" s="70"/>
      <c r="J41" s="27" t="str">
        <f>IF(H41="","",VLOOKUP(H41,Parts_Data!$AL$3:$AN$102,2,FALSE))</f>
        <v/>
      </c>
    </row>
    <row r="42" spans="1:10" ht="15.6" x14ac:dyDescent="0.3">
      <c r="A42" s="210"/>
      <c r="B42" s="23">
        <v>14</v>
      </c>
      <c r="C42" s="67" t="s">
        <v>285</v>
      </c>
      <c r="D42" s="214" t="s">
        <v>290</v>
      </c>
      <c r="E42" s="20" t="str">
        <f>IF(D42="Yes",VLOOKUP($D$11,Parts_Data!$AH$3:$AJ$102,2,FALSE),"")</f>
        <v/>
      </c>
      <c r="F42" s="68"/>
      <c r="G42" s="20" t="str">
        <f>IF(F42="","",VLOOKUP(F42,Parts_Data!$AH$3:$AJ$102,2,FALSE))</f>
        <v/>
      </c>
      <c r="H42" s="68" t="s">
        <v>414</v>
      </c>
      <c r="I42" s="71" t="s">
        <v>649</v>
      </c>
      <c r="J42" s="26">
        <f>IF(H42="","",VLOOKUP(H42,Parts_Data!$AL$3:$AN$102,2,FALSE))</f>
        <v>15716</v>
      </c>
    </row>
    <row r="43" spans="1:10" ht="16.2" thickBot="1" x14ac:dyDescent="0.35">
      <c r="A43" s="211"/>
      <c r="B43" s="25">
        <v>15</v>
      </c>
      <c r="C43" s="67" t="s">
        <v>285</v>
      </c>
      <c r="D43" s="217"/>
      <c r="E43" s="22"/>
      <c r="F43" s="69"/>
      <c r="G43" s="22" t="str">
        <f>IF(F43="","",VLOOKUP(F43,Parts_Data!$AH$3:$AJ$102,2,FALSE))</f>
        <v/>
      </c>
      <c r="H43" s="69"/>
      <c r="I43" s="72"/>
      <c r="J43" s="28" t="str">
        <f>IF(H43="","",VLOOKUP(H43,Parts_Data!$AL$3:$AN$102,2,FALSE))</f>
        <v/>
      </c>
    </row>
    <row r="44" spans="1:10" ht="15.6" x14ac:dyDescent="0.3">
      <c r="A44" s="209" t="s">
        <v>666</v>
      </c>
      <c r="B44" s="57">
        <v>0</v>
      </c>
      <c r="C44" s="77" t="s">
        <v>285</v>
      </c>
      <c r="D44" s="212"/>
      <c r="E44" s="56" t="str">
        <f>IF(D44="Yes",VLOOKUP($D$11,Parts_Data!$AH$3:$AJ$102,2,FALSE),"")</f>
        <v/>
      </c>
      <c r="F44" s="77"/>
      <c r="G44" s="56" t="str">
        <f>IF(F44="","",VLOOKUP(F44,Parts_Data!$AH$3:$AJ$102,2,FALSE))</f>
        <v/>
      </c>
      <c r="H44" s="77" t="s">
        <v>258</v>
      </c>
      <c r="I44" s="78" t="s">
        <v>675</v>
      </c>
      <c r="J44" s="96">
        <f>IF(H44="","",VLOOKUP(H44,Parts_Data!$AL$3:$AN$102,2,FALSE))</f>
        <v>64441</v>
      </c>
    </row>
    <row r="45" spans="1:10" ht="15.6" x14ac:dyDescent="0.3">
      <c r="A45" s="210"/>
      <c r="B45" s="24">
        <v>1</v>
      </c>
      <c r="C45" s="67" t="s">
        <v>285</v>
      </c>
      <c r="D45" s="213"/>
      <c r="E45" s="21"/>
      <c r="F45" s="67"/>
      <c r="G45" s="21" t="str">
        <f>IF(F45="","",VLOOKUP(F45,Parts_Data!$AH$3:$AJ$102,2,FALSE))</f>
        <v/>
      </c>
      <c r="H45" s="67"/>
      <c r="I45" s="70" t="s">
        <v>675</v>
      </c>
      <c r="J45" s="93" t="str">
        <f>IF(H45="","",VLOOKUP(H45,Parts_Data!$AL$3:$AN$102,2,FALSE))</f>
        <v/>
      </c>
    </row>
    <row r="46" spans="1:10" ht="15.6" x14ac:dyDescent="0.3">
      <c r="A46" s="210"/>
      <c r="B46" s="23">
        <v>2</v>
      </c>
      <c r="C46" s="68" t="s">
        <v>285</v>
      </c>
      <c r="D46" s="214"/>
      <c r="E46" s="20" t="str">
        <f>IF(D46="Yes",VLOOKUP($D$11,Parts_Data!$AH$3:$AJ$102,2,FALSE),"")</f>
        <v/>
      </c>
      <c r="F46" s="68"/>
      <c r="G46" s="20" t="str">
        <f>IF(F46="","",VLOOKUP(F46,Parts_Data!$AH$3:$AJ$102,2,FALSE))</f>
        <v/>
      </c>
      <c r="H46" s="68" t="s">
        <v>258</v>
      </c>
      <c r="I46" s="71" t="s">
        <v>675</v>
      </c>
      <c r="J46" s="94">
        <f>IF(H46="","",VLOOKUP(H46,Parts_Data!$AL$3:$AN$102,2,FALSE))</f>
        <v>64441</v>
      </c>
    </row>
    <row r="47" spans="1:10" ht="15.6" x14ac:dyDescent="0.3">
      <c r="A47" s="210"/>
      <c r="B47" s="24">
        <v>3</v>
      </c>
      <c r="C47" s="67"/>
      <c r="D47" s="215"/>
      <c r="E47" s="21"/>
      <c r="F47" s="67"/>
      <c r="G47" s="21" t="str">
        <f>IF(F47="","",VLOOKUP(F47,Parts_Data!$AH$3:$AJ$102,2,FALSE))</f>
        <v/>
      </c>
      <c r="H47" s="151"/>
      <c r="I47" s="152" t="s">
        <v>675</v>
      </c>
      <c r="J47" s="93" t="str">
        <f>IF(H47="","",VLOOKUP(H47,Parts_Data!$AL$3:$AN$102,2,FALSE))</f>
        <v/>
      </c>
    </row>
    <row r="48" spans="1:10" ht="15.6" x14ac:dyDescent="0.3">
      <c r="A48" s="210"/>
      <c r="B48" s="23">
        <v>4</v>
      </c>
      <c r="C48" s="68"/>
      <c r="D48" s="216"/>
      <c r="E48" s="20" t="str">
        <f>IF(D48="Yes",VLOOKUP($D$11,Parts_Data!$AH$3:$AJ$102,2,FALSE),"")</f>
        <v/>
      </c>
      <c r="F48" s="68"/>
      <c r="G48" s="20" t="str">
        <f>IF(F48="","",VLOOKUP(F48,Parts_Data!$AH$3:$AJ$102,2,FALSE))</f>
        <v/>
      </c>
      <c r="H48" s="68" t="s">
        <v>414</v>
      </c>
      <c r="I48" s="68" t="s">
        <v>649</v>
      </c>
      <c r="J48" s="94">
        <f>IF(H48="","",VLOOKUP(H48,Parts_Data!$AL$3:$AN$102,2,FALSE))</f>
        <v>15716</v>
      </c>
    </row>
    <row r="49" spans="1:10" ht="15.6" x14ac:dyDescent="0.3">
      <c r="A49" s="210"/>
      <c r="B49" s="24">
        <v>5</v>
      </c>
      <c r="C49" s="67"/>
      <c r="D49" s="213"/>
      <c r="E49" s="21"/>
      <c r="F49" s="67"/>
      <c r="G49" s="21" t="str">
        <f>IF(F49="","",VLOOKUP(F49,Parts_Data!$AH$3:$AJ$102,2,FALSE))</f>
        <v/>
      </c>
      <c r="H49" s="67"/>
      <c r="I49" s="70"/>
      <c r="J49" s="93" t="str">
        <f>IF(H49="","",VLOOKUP(H49,Parts_Data!$AL$3:$AN$102,2,FALSE))</f>
        <v/>
      </c>
    </row>
    <row r="50" spans="1:10" ht="15.6" x14ac:dyDescent="0.3">
      <c r="A50" s="210"/>
      <c r="B50" s="23">
        <v>6</v>
      </c>
      <c r="C50" s="68"/>
      <c r="D50" s="214"/>
      <c r="E50" s="20" t="str">
        <f>IF(D50="Yes",VLOOKUP($D$11,Parts_Data!$AH$3:$AJ$102,2,FALSE),"")</f>
        <v/>
      </c>
      <c r="F50" s="68"/>
      <c r="G50" s="20" t="str">
        <f>IF(F50="","",VLOOKUP(F50,Parts_Data!$AH$3:$AJ$102,2,FALSE))</f>
        <v/>
      </c>
      <c r="H50" s="68" t="s">
        <v>414</v>
      </c>
      <c r="I50" s="71" t="s">
        <v>649</v>
      </c>
      <c r="J50" s="94">
        <f>IF(H50="","",VLOOKUP(H50,Parts_Data!$AL$3:$AN$102,2,FALSE))</f>
        <v>15716</v>
      </c>
    </row>
    <row r="51" spans="1:10" ht="15.6" x14ac:dyDescent="0.3">
      <c r="A51" s="210"/>
      <c r="B51" s="24">
        <v>7</v>
      </c>
      <c r="C51" s="67"/>
      <c r="D51" s="215"/>
      <c r="E51" s="21"/>
      <c r="F51" s="67"/>
      <c r="G51" s="21" t="str">
        <f>IF(F51="","",VLOOKUP(F51,Parts_Data!$AH$3:$AJ$102,2,FALSE))</f>
        <v/>
      </c>
      <c r="H51" s="67"/>
      <c r="I51" s="70"/>
      <c r="J51" s="93" t="str">
        <f>IF(H51="","",VLOOKUP(H51,Parts_Data!$AL$3:$AN$102,2,FALSE))</f>
        <v/>
      </c>
    </row>
    <row r="52" spans="1:10" ht="15.6" x14ac:dyDescent="0.3">
      <c r="A52" s="210"/>
      <c r="B52" s="23">
        <v>8</v>
      </c>
      <c r="C52" s="68"/>
      <c r="D52" s="216"/>
      <c r="E52" s="20" t="str">
        <f>IF(D52="Yes",VLOOKUP($D$11,Parts_Data!$AH$3:$AJ$102,2,FALSE),"")</f>
        <v/>
      </c>
      <c r="F52" s="68"/>
      <c r="G52" s="20" t="str">
        <f>IF(F52="","",VLOOKUP(F52,Parts_Data!$AH$3:$AJ$102,2,FALSE))</f>
        <v/>
      </c>
      <c r="H52" s="68" t="s">
        <v>414</v>
      </c>
      <c r="I52" s="71" t="s">
        <v>649</v>
      </c>
      <c r="J52" s="94">
        <f>IF(H52="","",VLOOKUP(H52,Parts_Data!$AL$3:$AN$102,2,FALSE))</f>
        <v>15716</v>
      </c>
    </row>
    <row r="53" spans="1:10" ht="15.6" x14ac:dyDescent="0.3">
      <c r="A53" s="210"/>
      <c r="B53" s="24">
        <v>9</v>
      </c>
      <c r="C53" s="67"/>
      <c r="D53" s="213"/>
      <c r="E53" s="21"/>
      <c r="F53" s="67"/>
      <c r="G53" s="21" t="str">
        <f>IF(F53="","",VLOOKUP(F53,Parts_Data!$AH$3:$AJ$102,2,FALSE))</f>
        <v/>
      </c>
      <c r="H53" s="67"/>
      <c r="I53" s="70"/>
      <c r="J53" s="93" t="str">
        <f>IF(H53="","",VLOOKUP(H53,Parts_Data!$AL$3:$AN$102,2,FALSE))</f>
        <v/>
      </c>
    </row>
    <row r="54" spans="1:10" ht="15.6" x14ac:dyDescent="0.3">
      <c r="A54" s="210"/>
      <c r="B54" s="23">
        <v>10</v>
      </c>
      <c r="C54" s="68"/>
      <c r="D54" s="214"/>
      <c r="E54" s="20" t="str">
        <f>IF(D54="Yes",VLOOKUP($D$11,Parts_Data!$AH$3:$AJ$102,2,FALSE),"")</f>
        <v/>
      </c>
      <c r="F54" s="68"/>
      <c r="G54" s="20" t="str">
        <f>IF(F54="","",VLOOKUP(F54,Parts_Data!$AH$3:$AJ$102,2,FALSE))</f>
        <v/>
      </c>
      <c r="H54" s="68" t="s">
        <v>414</v>
      </c>
      <c r="I54" s="71" t="s">
        <v>649</v>
      </c>
      <c r="J54" s="94">
        <f>IF(H54="","",VLOOKUP(H54,Parts_Data!$AL$3:$AN$102,2,FALSE))</f>
        <v>15716</v>
      </c>
    </row>
    <row r="55" spans="1:10" ht="15.6" x14ac:dyDescent="0.3">
      <c r="A55" s="210"/>
      <c r="B55" s="24">
        <v>11</v>
      </c>
      <c r="C55" s="67"/>
      <c r="D55" s="215"/>
      <c r="E55" s="21"/>
      <c r="F55" s="67"/>
      <c r="G55" s="21" t="str">
        <f>IF(F55="","",VLOOKUP(F55,Parts_Data!$AH$3:$AJ$102,2,FALSE))</f>
        <v/>
      </c>
      <c r="H55" s="67"/>
      <c r="I55" s="70"/>
      <c r="J55" s="93" t="str">
        <f>IF(H55="","",VLOOKUP(H55,Parts_Data!$AL$3:$AN$102,2,FALSE))</f>
        <v/>
      </c>
    </row>
    <row r="56" spans="1:10" ht="15.6" x14ac:dyDescent="0.3">
      <c r="A56" s="210"/>
      <c r="B56" s="23">
        <v>12</v>
      </c>
      <c r="C56" s="68"/>
      <c r="D56" s="216"/>
      <c r="E56" s="20" t="str">
        <f>IF(D56="Yes",VLOOKUP($D$11,Parts_Data!$AH$3:$AJ$102,2,FALSE),"")</f>
        <v/>
      </c>
      <c r="F56" s="68"/>
      <c r="G56" s="20" t="str">
        <f>IF(F56="","",VLOOKUP(F56,Parts_Data!$AH$3:$AJ$102,2,FALSE))</f>
        <v/>
      </c>
      <c r="H56" s="68" t="s">
        <v>414</v>
      </c>
      <c r="I56" s="71" t="s">
        <v>649</v>
      </c>
      <c r="J56" s="94">
        <f>IF(H56="","",VLOOKUP(H56,Parts_Data!$AL$3:$AN$102,2,FALSE))</f>
        <v>15716</v>
      </c>
    </row>
    <row r="57" spans="1:10" ht="15.6" x14ac:dyDescent="0.3">
      <c r="A57" s="210"/>
      <c r="B57" s="24">
        <v>13</v>
      </c>
      <c r="C57" s="67"/>
      <c r="D57" s="213"/>
      <c r="E57" s="21"/>
      <c r="F57" s="67"/>
      <c r="G57" s="21" t="str">
        <f>IF(F57="","",VLOOKUP(F57,Parts_Data!$AH$3:$AJ$102,2,FALSE))</f>
        <v/>
      </c>
      <c r="H57" s="67"/>
      <c r="I57" s="70"/>
      <c r="J57" s="93" t="str">
        <f>IF(H57="","",VLOOKUP(H57,Parts_Data!$AL$3:$AN$102,2,FALSE))</f>
        <v/>
      </c>
    </row>
    <row r="58" spans="1:10" ht="15.6" x14ac:dyDescent="0.3">
      <c r="A58" s="210"/>
      <c r="B58" s="23">
        <v>14</v>
      </c>
      <c r="C58" s="68"/>
      <c r="D58" s="214"/>
      <c r="E58" s="20" t="str">
        <f>IF(D58="Yes",VLOOKUP($D$11,Parts_Data!$AH$3:$AJ$102,2,FALSE),"")</f>
        <v/>
      </c>
      <c r="F58" s="68"/>
      <c r="G58" s="20" t="str">
        <f>IF(F58="","",VLOOKUP(F58,Parts_Data!$AH$3:$AJ$102,2,FALSE))</f>
        <v/>
      </c>
      <c r="H58" s="68" t="s">
        <v>414</v>
      </c>
      <c r="I58" s="71" t="s">
        <v>649</v>
      </c>
      <c r="J58" s="94">
        <f>IF(H58="","",VLOOKUP(H58,Parts_Data!$AL$3:$AN$102,2,FALSE))</f>
        <v>15716</v>
      </c>
    </row>
    <row r="59" spans="1:10" ht="16.2" thickBot="1" x14ac:dyDescent="0.35">
      <c r="A59" s="211"/>
      <c r="B59" s="25">
        <v>15</v>
      </c>
      <c r="C59" s="69"/>
      <c r="D59" s="217"/>
      <c r="E59" s="22"/>
      <c r="F59" s="69"/>
      <c r="G59" s="22" t="str">
        <f>IF(F59="","",VLOOKUP(F59,Parts_Data!$AH$3:$AJ$102,2,FALSE))</f>
        <v/>
      </c>
      <c r="H59" s="69"/>
      <c r="I59" s="72"/>
      <c r="J59" s="95" t="str">
        <f>IF(H59="","",VLOOKUP(H59,Parts_Data!$AL$3:$AN$102,2,FALSE))</f>
        <v/>
      </c>
    </row>
  </sheetData>
  <sheetProtection algorithmName="SHA-512" hashValue="/zgCgdrYURAG8QIkgjrWd5hL5+Y++MPboZFdtFY+eUpxC7YSqZnGaAnIO7GJnoFAl7tn5B9jQcB+FyZ458uBAA==" saltValue="6CTuW7Kh7NQvvdyXHqYmYA==" spinCount="100000" sheet="1" objects="1" scenarios="1" formatCells="0" formatColumns="0" formatRows="0"/>
  <mergeCells count="33">
    <mergeCell ref="A44:A59"/>
    <mergeCell ref="D44:D45"/>
    <mergeCell ref="D46:D47"/>
    <mergeCell ref="D48:D49"/>
    <mergeCell ref="D50:D51"/>
    <mergeCell ref="D52:D53"/>
    <mergeCell ref="D54:D55"/>
    <mergeCell ref="D56:D57"/>
    <mergeCell ref="D58:D59"/>
    <mergeCell ref="B2:B4"/>
    <mergeCell ref="C2:G4"/>
    <mergeCell ref="C6:D6"/>
    <mergeCell ref="E6:F6"/>
    <mergeCell ref="C7:D7"/>
    <mergeCell ref="E7:F7"/>
    <mergeCell ref="A12:A27"/>
    <mergeCell ref="D12:D13"/>
    <mergeCell ref="D14:D15"/>
    <mergeCell ref="D16:D17"/>
    <mergeCell ref="D18:D19"/>
    <mergeCell ref="D20:D21"/>
    <mergeCell ref="D22:D23"/>
    <mergeCell ref="D24:D25"/>
    <mergeCell ref="D26:D27"/>
    <mergeCell ref="A28:A43"/>
    <mergeCell ref="D28:D29"/>
    <mergeCell ref="D30:D31"/>
    <mergeCell ref="D32:D33"/>
    <mergeCell ref="D34:D35"/>
    <mergeCell ref="D36:D37"/>
    <mergeCell ref="D38:D39"/>
    <mergeCell ref="D40:D41"/>
    <mergeCell ref="D42:D43"/>
  </mergeCells>
  <dataValidations count="2">
    <dataValidation type="list" allowBlank="1" showInputMessage="1" showErrorMessage="1" sqref="F12:F59" xr:uid="{ACF1B3D7-C451-4990-BCFD-B6C085334BA1}">
      <formula1>INDIRECT($F$10)</formula1>
    </dataValidation>
    <dataValidation type="list" allowBlank="1" showInputMessage="1" showErrorMessage="1" sqref="H12:H59" xr:uid="{FEDFED8E-C70C-4847-BB31-F53C835DA92A}">
      <formula1>INDIRECT($H$10)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5.NewSafetyIOBlock">
                <anchor moveWithCells="1" sizeWithCells="1">
                  <from>
                    <xdr:col>0</xdr:col>
                    <xdr:colOff>30480</xdr:colOff>
                    <xdr:row>2</xdr:row>
                    <xdr:rowOff>68580</xdr:rowOff>
                  </from>
                  <to>
                    <xdr:col>0</xdr:col>
                    <xdr:colOff>1074420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EA34148-FAF7-4866-B414-39DFF7677DD0}">
          <x14:formula1>
            <xm:f>Structure_Data!$A$60:$A$62</xm:f>
          </x14:formula1>
          <xm:sqref>C12:C59</xm:sqref>
        </x14:dataValidation>
        <x14:dataValidation type="list" allowBlank="1" showInputMessage="1" showErrorMessage="1" xr:uid="{54B17124-E9A6-420E-80B3-A114FC3DA71B}">
          <x14:formula1>
            <xm:f>Structure_Data!$A$65:$A$67</xm:f>
          </x14:formula1>
          <xm:sqref>D12:D59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0505-372C-44C3-BFCA-F9A2DAF18E58}">
  <sheetPr codeName="Sheet9"/>
  <dimension ref="A1:J43"/>
  <sheetViews>
    <sheetView showGridLines="0" tabSelected="1" zoomScaleNormal="100" workbookViewId="0">
      <pane ySplit="11" topLeftCell="A28" activePane="bottomLeft" state="frozen"/>
      <selection activeCell="F25" sqref="F25"/>
      <selection pane="bottomLeft" activeCell="H28" sqref="H28:I29"/>
    </sheetView>
  </sheetViews>
  <sheetFormatPr defaultColWidth="11.109375" defaultRowHeight="14.4" x14ac:dyDescent="0.3"/>
  <cols>
    <col min="1" max="2" width="16.44140625" bestFit="1" customWidth="1"/>
    <col min="3" max="3" width="11.5546875" bestFit="1" customWidth="1"/>
    <col min="4" max="4" width="17.109375" bestFit="1" customWidth="1"/>
    <col min="5" max="5" width="26.33203125" bestFit="1" customWidth="1"/>
    <col min="6" max="6" width="23.6640625" customWidth="1"/>
    <col min="7" max="7" width="17.109375" bestFit="1" customWidth="1"/>
    <col min="8" max="8" width="33.21875" customWidth="1"/>
    <col min="9" max="9" width="21.5546875" customWidth="1"/>
    <col min="10" max="10" width="23.6640625" customWidth="1"/>
  </cols>
  <sheetData>
    <row r="1" spans="1:10" x14ac:dyDescent="0.3">
      <c r="A1" s="103"/>
      <c r="B1" s="7"/>
      <c r="C1" s="7"/>
      <c r="D1" s="7"/>
      <c r="E1" s="7"/>
      <c r="F1" s="7"/>
      <c r="G1" s="7"/>
    </row>
    <row r="2" spans="1:10" x14ac:dyDescent="0.3">
      <c r="A2" s="104" t="s">
        <v>246</v>
      </c>
      <c r="B2" s="182"/>
      <c r="C2" s="183" t="s">
        <v>283</v>
      </c>
      <c r="D2" s="183"/>
      <c r="E2" s="183"/>
      <c r="F2" s="183"/>
      <c r="G2" s="183"/>
    </row>
    <row r="3" spans="1:10" x14ac:dyDescent="0.3">
      <c r="A3" s="103"/>
      <c r="B3" s="182"/>
      <c r="C3" s="183"/>
      <c r="D3" s="183"/>
      <c r="E3" s="183"/>
      <c r="F3" s="183"/>
      <c r="G3" s="183"/>
    </row>
    <row r="4" spans="1:10" ht="15" thickBot="1" x14ac:dyDescent="0.35">
      <c r="A4" s="103"/>
      <c r="B4" s="182"/>
      <c r="C4" s="183"/>
      <c r="D4" s="183"/>
      <c r="E4" s="183"/>
      <c r="F4" s="183"/>
      <c r="G4" s="183"/>
    </row>
    <row r="5" spans="1:10" ht="4.5" customHeight="1" thickBot="1" x14ac:dyDescent="0.35">
      <c r="A5" s="103"/>
      <c r="B5" s="120"/>
      <c r="C5" s="118"/>
      <c r="D5" s="118"/>
      <c r="E5" s="118"/>
      <c r="F5" s="118"/>
      <c r="G5" s="119"/>
    </row>
    <row r="6" spans="1:10" ht="18" x14ac:dyDescent="0.35">
      <c r="A6" s="103"/>
      <c r="B6" s="38" t="s">
        <v>44</v>
      </c>
      <c r="C6" s="202" t="s">
        <v>51</v>
      </c>
      <c r="D6" s="202"/>
      <c r="E6" s="202" t="s">
        <v>48</v>
      </c>
      <c r="F6" s="202"/>
      <c r="G6" s="39" t="s">
        <v>45</v>
      </c>
    </row>
    <row r="7" spans="1:10" ht="15.6" x14ac:dyDescent="0.3">
      <c r="A7" s="103"/>
      <c r="B7" s="79">
        <f ca="1">TODAY()</f>
        <v>44979</v>
      </c>
      <c r="C7" s="197" t="str">
        <f>CoverSheet!C7</f>
        <v>GR700</v>
      </c>
      <c r="D7" s="197"/>
      <c r="E7" s="197" t="str">
        <f>CoverSheet!E7</f>
        <v>WD-OR-VAC-GR700</v>
      </c>
      <c r="F7" s="197"/>
      <c r="G7" s="80" t="str">
        <f>CoverSheet!G7</f>
        <v>Saba Saba</v>
      </c>
    </row>
    <row r="8" spans="1:10" ht="15" thickBot="1" x14ac:dyDescent="0.35">
      <c r="A8" s="103"/>
      <c r="B8" s="133"/>
      <c r="C8" s="134"/>
      <c r="D8" s="134"/>
      <c r="E8" s="134"/>
      <c r="F8" s="134"/>
      <c r="G8" s="135" t="str">
        <f>CoverSheet!G11</f>
        <v>v1.2.1</v>
      </c>
    </row>
    <row r="9" spans="1:10" ht="4.5" customHeight="1" thickBot="1" x14ac:dyDescent="0.4">
      <c r="A9" s="103"/>
      <c r="B9" s="127"/>
      <c r="C9" s="128"/>
      <c r="D9" s="128"/>
      <c r="E9" s="128"/>
      <c r="F9" s="128"/>
      <c r="G9" s="129"/>
    </row>
    <row r="10" spans="1:10" ht="9" hidden="1" customHeight="1" thickBot="1" x14ac:dyDescent="0.35">
      <c r="F10" t="s">
        <v>273</v>
      </c>
      <c r="H10" t="s">
        <v>274</v>
      </c>
    </row>
    <row r="11" spans="1:10" ht="36.6" thickBot="1" x14ac:dyDescent="0.35">
      <c r="A11" s="48" t="s">
        <v>272</v>
      </c>
      <c r="B11" s="36" t="s">
        <v>270</v>
      </c>
      <c r="C11" s="36" t="s">
        <v>271</v>
      </c>
      <c r="D11" s="36" t="s">
        <v>269</v>
      </c>
      <c r="E11" s="36" t="s">
        <v>35</v>
      </c>
      <c r="F11" s="36" t="s">
        <v>34</v>
      </c>
      <c r="G11" s="36" t="s">
        <v>35</v>
      </c>
      <c r="H11" s="36" t="s">
        <v>267</v>
      </c>
      <c r="I11" s="51" t="s">
        <v>138</v>
      </c>
      <c r="J11" s="35" t="s">
        <v>35</v>
      </c>
    </row>
    <row r="12" spans="1:10" ht="15.75" hidden="1" customHeight="1" x14ac:dyDescent="0.3">
      <c r="A12" s="209" t="s">
        <v>268</v>
      </c>
      <c r="B12" s="57">
        <v>0</v>
      </c>
      <c r="C12" s="77"/>
      <c r="D12" s="212"/>
      <c r="E12" s="56"/>
      <c r="F12" s="77"/>
      <c r="G12" s="56" t="str">
        <f>IF(F12="","",VLOOKUP(F12,Parts_Data!$AH$3:$AJ$102,2,FALSE))</f>
        <v/>
      </c>
      <c r="H12" s="77"/>
      <c r="I12" s="78"/>
      <c r="J12" s="96" t="str">
        <f>IF(H12="","",VLOOKUP(H12,Parts_Data!$AL$3:$AN$102,2,FALSE))</f>
        <v/>
      </c>
    </row>
    <row r="13" spans="1:10" ht="15.6" hidden="1" x14ac:dyDescent="0.3">
      <c r="A13" s="210"/>
      <c r="B13" s="24">
        <v>1</v>
      </c>
      <c r="C13" s="67"/>
      <c r="D13" s="213"/>
      <c r="E13" s="21"/>
      <c r="F13" s="67"/>
      <c r="G13" s="21" t="str">
        <f>IF(F13="","",VLOOKUP(F13,Parts_Data!$AH$3:$AJ$102,2,FALSE))</f>
        <v/>
      </c>
      <c r="H13" s="67"/>
      <c r="I13" s="70"/>
      <c r="J13" s="93" t="str">
        <f>IF(H13="","",VLOOKUP(H13,Parts_Data!$AL$3:$AN$102,2,FALSE))</f>
        <v/>
      </c>
    </row>
    <row r="14" spans="1:10" ht="15.6" hidden="1" x14ac:dyDescent="0.3">
      <c r="A14" s="210"/>
      <c r="B14" s="23">
        <v>2</v>
      </c>
      <c r="C14" s="68"/>
      <c r="D14" s="214"/>
      <c r="E14" s="20" t="str">
        <f>IF(D14="Yes",VLOOKUP($D$11,Parts_Data!$AH$3:$AJ$102,2,FALSE),"")</f>
        <v/>
      </c>
      <c r="F14" s="68"/>
      <c r="G14" s="20" t="str">
        <f>IF(F14="","",VLOOKUP(F14,Parts_Data!$AH$3:$AJ$102,2,FALSE))</f>
        <v/>
      </c>
      <c r="H14" s="68"/>
      <c r="I14" s="71"/>
      <c r="J14" s="94" t="str">
        <f>IF(H14="","",VLOOKUP(H14,Parts_Data!$AL$3:$AN$102,2,FALSE))</f>
        <v/>
      </c>
    </row>
    <row r="15" spans="1:10" ht="15.6" hidden="1" x14ac:dyDescent="0.3">
      <c r="A15" s="210"/>
      <c r="B15" s="24">
        <v>3</v>
      </c>
      <c r="C15" s="67"/>
      <c r="D15" s="215"/>
      <c r="E15" s="21"/>
      <c r="F15" s="67"/>
      <c r="G15" s="21" t="str">
        <f>IF(F15="","",VLOOKUP(F15,Parts_Data!$AH$3:$AJ$102,2,FALSE))</f>
        <v/>
      </c>
      <c r="H15" s="67"/>
      <c r="I15" s="70"/>
      <c r="J15" s="93" t="str">
        <f>IF(H15="","",VLOOKUP(H15,Parts_Data!$AL$3:$AN$102,2,FALSE))</f>
        <v/>
      </c>
    </row>
    <row r="16" spans="1:10" ht="15.6" hidden="1" x14ac:dyDescent="0.3">
      <c r="A16" s="210"/>
      <c r="B16" s="23">
        <v>4</v>
      </c>
      <c r="C16" s="68"/>
      <c r="D16" s="216"/>
      <c r="E16" s="20" t="str">
        <f>IF(D16="Yes",VLOOKUP($D$11,Parts_Data!$AH$3:$AJ$102,2,FALSE),"")</f>
        <v/>
      </c>
      <c r="F16" s="68"/>
      <c r="G16" s="20" t="str">
        <f>IF(F16="","",VLOOKUP(F16,Parts_Data!$AH$3:$AJ$102,2,FALSE))</f>
        <v/>
      </c>
      <c r="H16" s="68"/>
      <c r="I16" s="71"/>
      <c r="J16" s="94" t="str">
        <f>IF(H16="","",VLOOKUP(H16,Parts_Data!$AL$3:$AN$102,2,FALSE))</f>
        <v/>
      </c>
    </row>
    <row r="17" spans="1:10" ht="15.6" hidden="1" x14ac:dyDescent="0.3">
      <c r="A17" s="210"/>
      <c r="B17" s="24">
        <v>5</v>
      </c>
      <c r="C17" s="67"/>
      <c r="D17" s="213"/>
      <c r="E17" s="21"/>
      <c r="F17" s="67"/>
      <c r="G17" s="21" t="str">
        <f>IF(F17="","",VLOOKUP(F17,Parts_Data!$AH$3:$AJ$102,2,FALSE))</f>
        <v/>
      </c>
      <c r="H17" s="67"/>
      <c r="I17" s="70"/>
      <c r="J17" s="93" t="str">
        <f>IF(H17="","",VLOOKUP(H17,Parts_Data!$AL$3:$AN$102,2,FALSE))</f>
        <v/>
      </c>
    </row>
    <row r="18" spans="1:10" ht="15.6" hidden="1" x14ac:dyDescent="0.3">
      <c r="A18" s="210"/>
      <c r="B18" s="23">
        <v>6</v>
      </c>
      <c r="C18" s="68"/>
      <c r="D18" s="214"/>
      <c r="E18" s="20" t="str">
        <f>IF(D18="Yes",VLOOKUP($D$11,Parts_Data!$AH$3:$AJ$102,2,FALSE),"")</f>
        <v/>
      </c>
      <c r="F18" s="68"/>
      <c r="G18" s="20" t="str">
        <f>IF(F18="","",VLOOKUP(F18,Parts_Data!$AH$3:$AJ$102,2,FALSE))</f>
        <v/>
      </c>
      <c r="H18" s="68"/>
      <c r="I18" s="71"/>
      <c r="J18" s="94" t="str">
        <f>IF(H18="","",VLOOKUP(H18,Parts_Data!$AL$3:$AN$102,2,FALSE))</f>
        <v/>
      </c>
    </row>
    <row r="19" spans="1:10" ht="15.6" hidden="1" x14ac:dyDescent="0.3">
      <c r="A19" s="210"/>
      <c r="B19" s="24">
        <v>7</v>
      </c>
      <c r="C19" s="67"/>
      <c r="D19" s="215"/>
      <c r="E19" s="21"/>
      <c r="F19" s="67"/>
      <c r="G19" s="21" t="str">
        <f>IF(F19="","",VLOOKUP(F19,Parts_Data!$AH$3:$AJ$102,2,FALSE))</f>
        <v/>
      </c>
      <c r="H19" s="67"/>
      <c r="I19" s="70"/>
      <c r="J19" s="93" t="str">
        <f>IF(H19="","",VLOOKUP(H19,Parts_Data!$AL$3:$AN$102,2,FALSE))</f>
        <v/>
      </c>
    </row>
    <row r="20" spans="1:10" ht="15.6" hidden="1" x14ac:dyDescent="0.3">
      <c r="A20" s="210"/>
      <c r="B20" s="23">
        <v>8</v>
      </c>
      <c r="C20" s="68"/>
      <c r="D20" s="216"/>
      <c r="E20" s="20" t="str">
        <f>IF(D20="Yes",VLOOKUP($D$11,Parts_Data!$AH$3:$AJ$102,2,FALSE),"")</f>
        <v/>
      </c>
      <c r="F20" s="68"/>
      <c r="G20" s="20" t="str">
        <f>IF(F20="","",VLOOKUP(F20,Parts_Data!$AH$3:$AJ$102,2,FALSE))</f>
        <v/>
      </c>
      <c r="H20" s="68"/>
      <c r="I20" s="71"/>
      <c r="J20" s="94" t="str">
        <f>IF(H20="","",VLOOKUP(H20,Parts_Data!$AL$3:$AN$102,2,FALSE))</f>
        <v/>
      </c>
    </row>
    <row r="21" spans="1:10" ht="15.6" hidden="1" x14ac:dyDescent="0.3">
      <c r="A21" s="210"/>
      <c r="B21" s="24">
        <v>9</v>
      </c>
      <c r="C21" s="67"/>
      <c r="D21" s="213"/>
      <c r="E21" s="21"/>
      <c r="F21" s="67"/>
      <c r="G21" s="21" t="str">
        <f>IF(F21="","",VLOOKUP(F21,Parts_Data!$AH$3:$AJ$102,2,FALSE))</f>
        <v/>
      </c>
      <c r="H21" s="67"/>
      <c r="I21" s="70"/>
      <c r="J21" s="93" t="str">
        <f>IF(H21="","",VLOOKUP(H21,Parts_Data!$AL$3:$AN$102,2,FALSE))</f>
        <v/>
      </c>
    </row>
    <row r="22" spans="1:10" ht="15.6" hidden="1" x14ac:dyDescent="0.3">
      <c r="A22" s="210"/>
      <c r="B22" s="23">
        <v>10</v>
      </c>
      <c r="C22" s="68"/>
      <c r="D22" s="214"/>
      <c r="E22" s="20" t="str">
        <f>IF(D22="Yes",VLOOKUP($D$11,Parts_Data!$AH$3:$AJ$102,2,FALSE),"")</f>
        <v/>
      </c>
      <c r="F22" s="68"/>
      <c r="G22" s="20" t="str">
        <f>IF(F22="","",VLOOKUP(F22,Parts_Data!$AH$3:$AJ$102,2,FALSE))</f>
        <v/>
      </c>
      <c r="H22" s="68"/>
      <c r="I22" s="71"/>
      <c r="J22" s="94" t="str">
        <f>IF(H22="","",VLOOKUP(H22,Parts_Data!$AL$3:$AN$102,2,FALSE))</f>
        <v/>
      </c>
    </row>
    <row r="23" spans="1:10" ht="15.6" hidden="1" x14ac:dyDescent="0.3">
      <c r="A23" s="210"/>
      <c r="B23" s="24">
        <v>11</v>
      </c>
      <c r="C23" s="67"/>
      <c r="D23" s="215"/>
      <c r="E23" s="21"/>
      <c r="F23" s="67"/>
      <c r="G23" s="21" t="str">
        <f>IF(F23="","",VLOOKUP(F23,Parts_Data!$AH$3:$AJ$102,2,FALSE))</f>
        <v/>
      </c>
      <c r="H23" s="67"/>
      <c r="I23" s="70"/>
      <c r="J23" s="93" t="str">
        <f>IF(H23="","",VLOOKUP(H23,Parts_Data!$AL$3:$AN$102,2,FALSE))</f>
        <v/>
      </c>
    </row>
    <row r="24" spans="1:10" ht="15.6" hidden="1" x14ac:dyDescent="0.3">
      <c r="A24" s="210"/>
      <c r="B24" s="23">
        <v>12</v>
      </c>
      <c r="C24" s="68"/>
      <c r="D24" s="216"/>
      <c r="E24" s="20" t="str">
        <f>IF(D24="Yes",VLOOKUP($D$11,Parts_Data!$AH$3:$AJ$102,2,FALSE),"")</f>
        <v/>
      </c>
      <c r="F24" s="68"/>
      <c r="G24" s="20" t="str">
        <f>IF(F24="","",VLOOKUP(F24,Parts_Data!$AH$3:$AJ$102,2,FALSE))</f>
        <v/>
      </c>
      <c r="H24" s="68"/>
      <c r="I24" s="71"/>
      <c r="J24" s="94" t="str">
        <f>IF(H24="","",VLOOKUP(H24,Parts_Data!$AL$3:$AN$102,2,FALSE))</f>
        <v/>
      </c>
    </row>
    <row r="25" spans="1:10" ht="15.6" hidden="1" x14ac:dyDescent="0.3">
      <c r="A25" s="210"/>
      <c r="B25" s="24">
        <v>13</v>
      </c>
      <c r="C25" s="67"/>
      <c r="D25" s="213"/>
      <c r="E25" s="21"/>
      <c r="F25" s="67"/>
      <c r="G25" s="21" t="str">
        <f>IF(F25="","",VLOOKUP(F25,Parts_Data!$AH$3:$AJ$102,2,FALSE))</f>
        <v/>
      </c>
      <c r="H25" s="67"/>
      <c r="I25" s="70"/>
      <c r="J25" s="93" t="str">
        <f>IF(H25="","",VLOOKUP(H25,Parts_Data!$AL$3:$AN$102,2,FALSE))</f>
        <v/>
      </c>
    </row>
    <row r="26" spans="1:10" ht="15.6" hidden="1" x14ac:dyDescent="0.3">
      <c r="A26" s="210"/>
      <c r="B26" s="23">
        <v>14</v>
      </c>
      <c r="C26" s="68"/>
      <c r="D26" s="214"/>
      <c r="E26" s="20" t="str">
        <f>IF(D26="Yes",VLOOKUP($D$11,Parts_Data!$AH$3:$AJ$102,2,FALSE),"")</f>
        <v/>
      </c>
      <c r="F26" s="68"/>
      <c r="G26" s="20" t="str">
        <f>IF(F26="","",VLOOKUP(F26,Parts_Data!$AH$3:$AJ$102,2,FALSE))</f>
        <v/>
      </c>
      <c r="H26" s="68"/>
      <c r="I26" s="71"/>
      <c r="J26" s="94" t="str">
        <f>IF(H26="","",VLOOKUP(H26,Parts_Data!$AL$3:$AN$102,2,FALSE))</f>
        <v/>
      </c>
    </row>
    <row r="27" spans="1:10" ht="16.2" hidden="1" thickBot="1" x14ac:dyDescent="0.35">
      <c r="A27" s="211"/>
      <c r="B27" s="25">
        <v>15</v>
      </c>
      <c r="C27" s="69"/>
      <c r="D27" s="217"/>
      <c r="E27" s="22"/>
      <c r="F27" s="69"/>
      <c r="G27" s="22" t="str">
        <f>IF(F27="","",VLOOKUP(F27,Parts_Data!$AH$3:$AJ$102,2,FALSE))</f>
        <v/>
      </c>
      <c r="H27" s="69"/>
      <c r="I27" s="72"/>
      <c r="J27" s="95" t="str">
        <f>IF(H27="","",VLOOKUP(H27,Parts_Data!$AL$3:$AN$102,2,FALSE))</f>
        <v/>
      </c>
    </row>
    <row r="28" spans="1:10" ht="15.6" x14ac:dyDescent="0.3">
      <c r="A28" s="209" t="s">
        <v>667</v>
      </c>
      <c r="B28" s="57">
        <v>0</v>
      </c>
      <c r="C28" s="77" t="s">
        <v>285</v>
      </c>
      <c r="D28" s="212" t="s">
        <v>289</v>
      </c>
      <c r="E28" s="56"/>
      <c r="F28" s="77"/>
      <c r="G28" s="56" t="str">
        <f>IF(F28="","",VLOOKUP(F28,Parts_Data!$AH$3:$AJ$102,2,FALSE))</f>
        <v/>
      </c>
      <c r="H28" s="77" t="s">
        <v>379</v>
      </c>
      <c r="I28" s="78" t="s">
        <v>668</v>
      </c>
      <c r="J28" s="117" t="e">
        <f>IF(H28="","",VLOOKUP(H28,Parts_Data!$AL$3:$AN$102,2,FALSE))</f>
        <v>#N/A</v>
      </c>
    </row>
    <row r="29" spans="1:10" ht="15.6" x14ac:dyDescent="0.3">
      <c r="A29" s="210"/>
      <c r="B29" s="24">
        <v>1</v>
      </c>
      <c r="C29" s="67" t="s">
        <v>285</v>
      </c>
      <c r="D29" s="213"/>
      <c r="E29" s="21"/>
      <c r="F29" s="67"/>
      <c r="G29" s="21" t="str">
        <f>IF(F29="","",VLOOKUP(F29,Parts_Data!$AH$3:$AJ$102,2,FALSE))</f>
        <v/>
      </c>
      <c r="H29" s="67" t="s">
        <v>379</v>
      </c>
      <c r="I29" s="70" t="s">
        <v>669</v>
      </c>
      <c r="J29" s="27" t="e">
        <f>IF(H29="","",VLOOKUP(H29,Parts_Data!$AL$3:$AN$102,2,FALSE))</f>
        <v>#N/A</v>
      </c>
    </row>
    <row r="30" spans="1:10" ht="15.6" x14ac:dyDescent="0.3">
      <c r="A30" s="210"/>
      <c r="B30" s="23">
        <v>2</v>
      </c>
      <c r="C30" s="68" t="s">
        <v>285</v>
      </c>
      <c r="D30" s="214"/>
      <c r="E30" s="20" t="str">
        <f>IF(D30="Yes",VLOOKUP($D$11,Parts_Data!$AH$3:$AJ$102,2,FALSE),"")</f>
        <v/>
      </c>
      <c r="F30" s="68"/>
      <c r="G30" s="20" t="str">
        <f>IF(F30="","",VLOOKUP(F30,Parts_Data!$AH$3:$AJ$102,2,FALSE))</f>
        <v/>
      </c>
      <c r="H30" s="68" t="s">
        <v>414</v>
      </c>
      <c r="I30" s="71" t="s">
        <v>649</v>
      </c>
      <c r="J30" s="26">
        <f>IF(H30="","",VLOOKUP(H30,Parts_Data!$AL$3:$AN$102,2,FALSE))</f>
        <v>15716</v>
      </c>
    </row>
    <row r="31" spans="1:10" ht="15.6" x14ac:dyDescent="0.3">
      <c r="A31" s="210"/>
      <c r="B31" s="24">
        <v>3</v>
      </c>
      <c r="C31" s="67" t="s">
        <v>285</v>
      </c>
      <c r="D31" s="215"/>
      <c r="E31" s="21"/>
      <c r="F31" s="67"/>
      <c r="G31" s="21" t="str">
        <f>IF(F31="","",VLOOKUP(F31,Parts_Data!$AH$3:$AJ$102,2,FALSE))</f>
        <v/>
      </c>
      <c r="H31" s="67"/>
      <c r="I31" s="70"/>
      <c r="J31" s="27" t="str">
        <f>IF(H31="","",VLOOKUP(H31,Parts_Data!$AL$3:$AN$102,2,FALSE))</f>
        <v/>
      </c>
    </row>
    <row r="32" spans="1:10" ht="15.6" x14ac:dyDescent="0.3">
      <c r="A32" s="210"/>
      <c r="B32" s="23">
        <v>4</v>
      </c>
      <c r="C32" s="68"/>
      <c r="D32" s="216"/>
      <c r="E32" s="20" t="str">
        <f>IF(D32="Yes",VLOOKUP($D$11,Parts_Data!$AH$3:$AJ$102,2,FALSE),"")</f>
        <v/>
      </c>
      <c r="F32" s="68"/>
      <c r="G32" s="20" t="str">
        <f>IF(F32="","",VLOOKUP(F32,Parts_Data!$AH$3:$AJ$102,2,FALSE))</f>
        <v/>
      </c>
      <c r="H32" s="68" t="s">
        <v>414</v>
      </c>
      <c r="I32" s="71" t="s">
        <v>649</v>
      </c>
      <c r="J32" s="26">
        <f>IF(H32="","",VLOOKUP(H32,Parts_Data!$AL$3:$AN$102,2,FALSE))</f>
        <v>15716</v>
      </c>
    </row>
    <row r="33" spans="1:10" ht="15.6" x14ac:dyDescent="0.3">
      <c r="A33" s="210"/>
      <c r="B33" s="24">
        <v>5</v>
      </c>
      <c r="C33" s="67"/>
      <c r="D33" s="213"/>
      <c r="E33" s="21"/>
      <c r="F33" s="67"/>
      <c r="G33" s="21" t="str">
        <f>IF(F33="","",VLOOKUP(F33,Parts_Data!$AH$3:$AJ$102,2,FALSE))</f>
        <v/>
      </c>
      <c r="H33" s="67"/>
      <c r="I33" s="70"/>
      <c r="J33" s="27" t="str">
        <f>IF(H33="","",VLOOKUP(H33,Parts_Data!$AL$3:$AN$102,2,FALSE))</f>
        <v/>
      </c>
    </row>
    <row r="34" spans="1:10" ht="15.6" x14ac:dyDescent="0.3">
      <c r="A34" s="210"/>
      <c r="B34" s="23">
        <v>6</v>
      </c>
      <c r="C34" s="68"/>
      <c r="D34" s="214"/>
      <c r="E34" s="20" t="str">
        <f>IF(D34="Yes",VLOOKUP($D$11,Parts_Data!$AH$3:$AJ$102,2,FALSE),"")</f>
        <v/>
      </c>
      <c r="F34" s="68"/>
      <c r="G34" s="20" t="str">
        <f>IF(F34="","",VLOOKUP(F34,Parts_Data!$AH$3:$AJ$102,2,FALSE))</f>
        <v/>
      </c>
      <c r="H34" s="68" t="s">
        <v>414</v>
      </c>
      <c r="I34" s="71" t="s">
        <v>649</v>
      </c>
      <c r="J34" s="26">
        <f>IF(H34="","",VLOOKUP(H34,Parts_Data!$AL$3:$AN$102,2,FALSE))</f>
        <v>15716</v>
      </c>
    </row>
    <row r="35" spans="1:10" ht="15.6" x14ac:dyDescent="0.3">
      <c r="A35" s="210"/>
      <c r="B35" s="24">
        <v>7</v>
      </c>
      <c r="C35" s="67"/>
      <c r="D35" s="215"/>
      <c r="E35" s="21"/>
      <c r="F35" s="67"/>
      <c r="G35" s="21" t="str">
        <f>IF(F35="","",VLOOKUP(F35,Parts_Data!$AH$3:$AJ$102,2,FALSE))</f>
        <v/>
      </c>
      <c r="H35" s="67"/>
      <c r="I35" s="70"/>
      <c r="J35" s="27" t="str">
        <f>IF(H35="","",VLOOKUP(H35,Parts_Data!$AL$3:$AN$102,2,FALSE))</f>
        <v/>
      </c>
    </row>
    <row r="36" spans="1:10" ht="15.6" x14ac:dyDescent="0.3">
      <c r="A36" s="210"/>
      <c r="B36" s="23">
        <v>8</v>
      </c>
      <c r="C36" s="68"/>
      <c r="D36" s="216"/>
      <c r="E36" s="20" t="str">
        <f>IF(D36="Yes",VLOOKUP($D$11,Parts_Data!$AH$3:$AJ$102,2,FALSE),"")</f>
        <v/>
      </c>
      <c r="F36" s="68"/>
      <c r="G36" s="20" t="str">
        <f>IF(F36="","",VLOOKUP(F36,Parts_Data!$AH$3:$AJ$102,2,FALSE))</f>
        <v/>
      </c>
      <c r="H36" s="68" t="s">
        <v>414</v>
      </c>
      <c r="I36" s="71" t="s">
        <v>649</v>
      </c>
      <c r="J36" s="26">
        <f>IF(H36="","",VLOOKUP(H36,Parts_Data!$AL$3:$AN$102,2,FALSE))</f>
        <v>15716</v>
      </c>
    </row>
    <row r="37" spans="1:10" ht="15.6" x14ac:dyDescent="0.3">
      <c r="A37" s="210"/>
      <c r="B37" s="24">
        <v>9</v>
      </c>
      <c r="C37" s="67"/>
      <c r="D37" s="213"/>
      <c r="E37" s="21"/>
      <c r="F37" s="67"/>
      <c r="G37" s="21" t="str">
        <f>IF(F37="","",VLOOKUP(F37,Parts_Data!$AH$3:$AJ$102,2,FALSE))</f>
        <v/>
      </c>
      <c r="H37" s="67"/>
      <c r="I37" s="70"/>
      <c r="J37" s="27" t="str">
        <f>IF(H37="","",VLOOKUP(H37,Parts_Data!$AL$3:$AN$102,2,FALSE))</f>
        <v/>
      </c>
    </row>
    <row r="38" spans="1:10" ht="15.6" x14ac:dyDescent="0.3">
      <c r="A38" s="210"/>
      <c r="B38" s="23">
        <v>10</v>
      </c>
      <c r="C38" s="68"/>
      <c r="D38" s="214"/>
      <c r="E38" s="20" t="str">
        <f>IF(D38="Yes",VLOOKUP($D$11,Parts_Data!$AH$3:$AJ$102,2,FALSE),"")</f>
        <v/>
      </c>
      <c r="F38" s="68"/>
      <c r="G38" s="20" t="str">
        <f>IF(F38="","",VLOOKUP(F38,Parts_Data!$AH$3:$AJ$102,2,FALSE))</f>
        <v/>
      </c>
      <c r="H38" s="68" t="s">
        <v>414</v>
      </c>
      <c r="I38" s="71" t="s">
        <v>649</v>
      </c>
      <c r="J38" s="26">
        <f>IF(H38="","",VLOOKUP(H38,Parts_Data!$AL$3:$AN$102,2,FALSE))</f>
        <v>15716</v>
      </c>
    </row>
    <row r="39" spans="1:10" ht="15.6" x14ac:dyDescent="0.3">
      <c r="A39" s="210"/>
      <c r="B39" s="24">
        <v>11</v>
      </c>
      <c r="C39" s="67"/>
      <c r="D39" s="215"/>
      <c r="E39" s="21"/>
      <c r="F39" s="67"/>
      <c r="G39" s="21" t="str">
        <f>IF(F39="","",VLOOKUP(F39,Parts_Data!$AH$3:$AJ$102,2,FALSE))</f>
        <v/>
      </c>
      <c r="H39" s="67"/>
      <c r="I39" s="70"/>
      <c r="J39" s="27" t="str">
        <f>IF(H39="","",VLOOKUP(H39,Parts_Data!$AL$3:$AN$102,2,FALSE))</f>
        <v/>
      </c>
    </row>
    <row r="40" spans="1:10" ht="15.6" x14ac:dyDescent="0.3">
      <c r="A40" s="210"/>
      <c r="B40" s="23">
        <v>12</v>
      </c>
      <c r="C40" s="68"/>
      <c r="D40" s="216"/>
      <c r="E40" s="20" t="str">
        <f>IF(D40="Yes",VLOOKUP($D$11,Parts_Data!$AH$3:$AJ$102,2,FALSE),"")</f>
        <v/>
      </c>
      <c r="F40" s="68"/>
      <c r="G40" s="20" t="str">
        <f>IF(F40="","",VLOOKUP(F40,Parts_Data!$AH$3:$AJ$102,2,FALSE))</f>
        <v/>
      </c>
      <c r="H40" s="68" t="s">
        <v>414</v>
      </c>
      <c r="I40" s="71" t="s">
        <v>649</v>
      </c>
      <c r="J40" s="26">
        <f>IF(H40="","",VLOOKUP(H40,Parts_Data!$AL$3:$AN$102,2,FALSE))</f>
        <v>15716</v>
      </c>
    </row>
    <row r="41" spans="1:10" ht="15.6" x14ac:dyDescent="0.3">
      <c r="A41" s="210"/>
      <c r="B41" s="24">
        <v>13</v>
      </c>
      <c r="C41" s="67"/>
      <c r="D41" s="213"/>
      <c r="E41" s="21"/>
      <c r="F41" s="67"/>
      <c r="G41" s="21" t="str">
        <f>IF(F41="","",VLOOKUP(F41,Parts_Data!$AH$3:$AJ$102,2,FALSE))</f>
        <v/>
      </c>
      <c r="H41" s="67"/>
      <c r="I41" s="70"/>
      <c r="J41" s="27" t="str">
        <f>IF(H41="","",VLOOKUP(H41,Parts_Data!$AL$3:$AN$102,2,FALSE))</f>
        <v/>
      </c>
    </row>
    <row r="42" spans="1:10" ht="15.6" x14ac:dyDescent="0.3">
      <c r="A42" s="210"/>
      <c r="B42" s="23">
        <v>14</v>
      </c>
      <c r="C42" s="68"/>
      <c r="D42" s="214"/>
      <c r="E42" s="20" t="str">
        <f>IF(D42="Yes",VLOOKUP($D$11,Parts_Data!$AH$3:$AJ$102,2,FALSE),"")</f>
        <v/>
      </c>
      <c r="F42" s="68"/>
      <c r="G42" s="20" t="str">
        <f>IF(F42="","",VLOOKUP(F42,Parts_Data!$AH$3:$AJ$102,2,FALSE))</f>
        <v/>
      </c>
      <c r="H42" s="68" t="s">
        <v>414</v>
      </c>
      <c r="I42" s="71" t="s">
        <v>649</v>
      </c>
      <c r="J42" s="26">
        <f>IF(H42="","",VLOOKUP(H42,Parts_Data!$AL$3:$AN$102,2,FALSE))</f>
        <v>15716</v>
      </c>
    </row>
    <row r="43" spans="1:10" ht="16.2" thickBot="1" x14ac:dyDescent="0.35">
      <c r="A43" s="211"/>
      <c r="B43" s="25">
        <v>15</v>
      </c>
      <c r="C43" s="69"/>
      <c r="D43" s="217"/>
      <c r="E43" s="22"/>
      <c r="F43" s="69"/>
      <c r="G43" s="22" t="str">
        <f>IF(F43="","",VLOOKUP(F43,Parts_Data!$AH$3:$AJ$102,2,FALSE))</f>
        <v/>
      </c>
      <c r="H43" s="69"/>
      <c r="I43" s="72"/>
      <c r="J43" s="28" t="str">
        <f>IF(H43="","",VLOOKUP(H43,Parts_Data!$AL$3:$AN$102,2,FALSE))</f>
        <v/>
      </c>
    </row>
  </sheetData>
  <sheetProtection algorithmName="SHA-512" hashValue="1DHb5wpXhMuVdAIfy8Y9qFCiKc/msQSZHcwx6bl+HuQdAL1lp3xKgUOFyF+MMoXlE2elcvu0U33lxs2Hue55Lg==" saltValue="w426e9/V27mxLnqzgYLbFw==" spinCount="100000" sheet="1" objects="1" scenarios="1" formatCells="0" formatColumns="0" formatRows="0" selectLockedCells="1"/>
  <mergeCells count="24">
    <mergeCell ref="B2:B4"/>
    <mergeCell ref="C2:G4"/>
    <mergeCell ref="C6:D6"/>
    <mergeCell ref="E6:F6"/>
    <mergeCell ref="C7:D7"/>
    <mergeCell ref="E7:F7"/>
    <mergeCell ref="A12:A27"/>
    <mergeCell ref="D12:D13"/>
    <mergeCell ref="D14:D15"/>
    <mergeCell ref="D16:D17"/>
    <mergeCell ref="D18:D19"/>
    <mergeCell ref="D20:D21"/>
    <mergeCell ref="D22:D23"/>
    <mergeCell ref="D24:D25"/>
    <mergeCell ref="D26:D27"/>
    <mergeCell ref="A28:A43"/>
    <mergeCell ref="D28:D29"/>
    <mergeCell ref="D30:D31"/>
    <mergeCell ref="D32:D33"/>
    <mergeCell ref="D34:D35"/>
    <mergeCell ref="D36:D37"/>
    <mergeCell ref="D38:D39"/>
    <mergeCell ref="D40:D41"/>
    <mergeCell ref="D42:D43"/>
  </mergeCells>
  <dataValidations count="2">
    <dataValidation type="list" allowBlank="1" showInputMessage="1" showErrorMessage="1" sqref="H12:H43" xr:uid="{5EE8CE3F-CF40-4029-85FC-587644043F84}">
      <formula1>INDIRECT($H$10)</formula1>
    </dataValidation>
    <dataValidation type="list" allowBlank="1" showInputMessage="1" showErrorMessage="1" sqref="F12:F43" xr:uid="{97458BE8-6502-4799-9746-087E7DFEB05E}">
      <formula1>INDIRECT($F$10)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5" r:id="rId4" name="Button 11">
              <controlPr defaultSize="0" print="0" autoFill="0" autoPict="0" macro="[0]!Sheet9.NewStandardIOBlock">
                <anchor moveWithCells="1" sizeWithCells="1">
                  <from>
                    <xdr:col>0</xdr:col>
                    <xdr:colOff>30480</xdr:colOff>
                    <xdr:row>2</xdr:row>
                    <xdr:rowOff>68580</xdr:rowOff>
                  </from>
                  <to>
                    <xdr:col>0</xdr:col>
                    <xdr:colOff>1074420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63E827-CD76-487C-83B5-155A918F968D}">
          <x14:formula1>
            <xm:f>Structure_Data!$A$60:$A$62</xm:f>
          </x14:formula1>
          <xm:sqref>C12:C43</xm:sqref>
        </x14:dataValidation>
        <x14:dataValidation type="list" allowBlank="1" showInputMessage="1" showErrorMessage="1" xr:uid="{3CDDF27B-F27D-4124-BB63-C23647BBAC4C}">
          <x14:formula1>
            <xm:f>Structure_Data!$A$65:$A$67</xm:f>
          </x14:formula1>
          <xm:sqref>D12:D43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6A211-C62E-4303-9DE3-4EF034378CA5}">
  <sheetPr codeName="Sheet7">
    <tabColor rgb="FF92D050"/>
  </sheetPr>
  <dimension ref="A1:AR102"/>
  <sheetViews>
    <sheetView showGridLines="0" topLeftCell="AF5" workbookViewId="0">
      <selection activeCell="AL34" sqref="AL34"/>
    </sheetView>
  </sheetViews>
  <sheetFormatPr defaultColWidth="0" defaultRowHeight="14.4" x14ac:dyDescent="0.3"/>
  <cols>
    <col min="1" max="1" width="30.33203125" style="82" customWidth="1"/>
    <col min="2" max="2" width="38.88671875" style="82" bestFit="1" customWidth="1"/>
    <col min="3" max="3" width="4.33203125" style="82" customWidth="1"/>
    <col min="4" max="4" width="23" style="82" bestFit="1" customWidth="1"/>
    <col min="5" max="6" width="23.33203125" style="82" customWidth="1"/>
    <col min="7" max="7" width="1.88671875" style="82" customWidth="1"/>
    <col min="8" max="8" width="28.5546875" style="82" bestFit="1" customWidth="1"/>
    <col min="9" max="10" width="23.33203125" style="82" customWidth="1"/>
    <col min="11" max="11" width="4.44140625" style="82" customWidth="1"/>
    <col min="12" max="12" width="18.33203125" style="82" bestFit="1" customWidth="1"/>
    <col min="13" max="13" width="22.77734375" style="82" bestFit="1" customWidth="1"/>
    <col min="14" max="14" width="23.33203125" style="82" customWidth="1"/>
    <col min="15" max="15" width="1.88671875" style="82" customWidth="1"/>
    <col min="16" max="16" width="22" style="82" bestFit="1" customWidth="1"/>
    <col min="17" max="17" width="23.77734375" style="82" bestFit="1" customWidth="1"/>
    <col min="18" max="18" width="23.33203125" style="82" customWidth="1"/>
    <col min="19" max="19" width="4.44140625" style="82" customWidth="1"/>
    <col min="20" max="20" width="18.33203125" style="82" bestFit="1" customWidth="1"/>
    <col min="21" max="22" width="23.33203125" style="82" customWidth="1"/>
    <col min="23" max="23" width="1.88671875" style="82" customWidth="1"/>
    <col min="24" max="24" width="24.5546875" style="82" bestFit="1" customWidth="1"/>
    <col min="25" max="26" width="23.33203125" style="82" customWidth="1"/>
    <col min="27" max="27" width="4.44140625" style="82" customWidth="1"/>
    <col min="28" max="28" width="28.44140625" style="82" customWidth="1"/>
    <col min="29" max="30" width="27.6640625" style="82" customWidth="1"/>
    <col min="31" max="31" width="1.88671875" style="82" customWidth="1"/>
    <col min="32" max="32" width="22.6640625" style="82" customWidth="1"/>
    <col min="33" max="33" width="4.44140625" style="82" customWidth="1"/>
    <col min="34" max="34" width="18.33203125" style="82" bestFit="1" customWidth="1"/>
    <col min="35" max="35" width="25" style="82" bestFit="1" customWidth="1"/>
    <col min="36" max="36" width="23.33203125" style="82" customWidth="1"/>
    <col min="37" max="37" width="1.88671875" style="82" customWidth="1"/>
    <col min="38" max="38" width="18.33203125" style="82" bestFit="1" customWidth="1"/>
    <col min="39" max="39" width="28.33203125" style="82" bestFit="1" customWidth="1"/>
    <col min="40" max="40" width="23.33203125" style="82" customWidth="1"/>
    <col min="41" max="41" width="1.88671875" style="82" customWidth="1"/>
    <col min="42" max="42" width="27.44140625" style="82" bestFit="1" customWidth="1"/>
    <col min="43" max="43" width="28.33203125" style="82" bestFit="1" customWidth="1"/>
    <col min="44" max="44" width="23.33203125" style="82" customWidth="1"/>
    <col min="45" max="16384" width="9.109375" style="82" hidden="1"/>
  </cols>
  <sheetData>
    <row r="1" spans="1:44" s="140" customFormat="1" ht="15" thickBot="1" x14ac:dyDescent="0.35">
      <c r="A1" s="136"/>
      <c r="B1" s="137"/>
      <c r="C1" s="138"/>
      <c r="D1" s="136"/>
      <c r="E1" s="137"/>
      <c r="F1" s="137"/>
      <c r="G1" s="137"/>
      <c r="H1" s="137"/>
      <c r="I1" s="137"/>
      <c r="J1" s="139"/>
      <c r="K1" s="138"/>
      <c r="L1" s="136"/>
      <c r="M1" s="137"/>
      <c r="N1" s="137"/>
      <c r="O1" s="137"/>
      <c r="P1" s="137"/>
      <c r="Q1" s="137"/>
      <c r="R1" s="139"/>
      <c r="S1" s="138"/>
      <c r="T1" s="136"/>
      <c r="U1" s="137"/>
      <c r="V1" s="137"/>
      <c r="W1" s="137"/>
      <c r="X1" s="137"/>
      <c r="Y1" s="137"/>
      <c r="Z1" s="139"/>
      <c r="AA1" s="138"/>
      <c r="AB1" s="136"/>
      <c r="AC1" s="137"/>
      <c r="AD1" s="137"/>
      <c r="AE1" s="137"/>
      <c r="AF1" s="139"/>
      <c r="AG1" s="138"/>
      <c r="AH1" s="136"/>
      <c r="AI1" s="137"/>
      <c r="AJ1" s="137"/>
      <c r="AK1" s="137"/>
      <c r="AL1" s="137"/>
      <c r="AM1" s="137"/>
      <c r="AN1" s="137"/>
      <c r="AO1" s="137"/>
      <c r="AP1" s="137"/>
      <c r="AQ1" s="137"/>
      <c r="AR1" s="139"/>
    </row>
    <row r="2" spans="1:44" ht="15" thickBot="1" x14ac:dyDescent="0.35">
      <c r="A2" s="90" t="s">
        <v>255</v>
      </c>
      <c r="B2" s="82" t="s">
        <v>256</v>
      </c>
      <c r="C2" s="146"/>
      <c r="D2" s="83" t="s">
        <v>131</v>
      </c>
      <c r="E2" s="84" t="s">
        <v>132</v>
      </c>
      <c r="F2" s="84" t="s">
        <v>247</v>
      </c>
      <c r="G2" s="138"/>
      <c r="H2" s="84" t="s">
        <v>135</v>
      </c>
      <c r="I2" s="84" t="s">
        <v>136</v>
      </c>
      <c r="J2" s="86" t="s">
        <v>247</v>
      </c>
      <c r="K2" s="143"/>
      <c r="L2" s="83" t="s">
        <v>150</v>
      </c>
      <c r="M2" s="84" t="s">
        <v>151</v>
      </c>
      <c r="N2" s="84" t="s">
        <v>247</v>
      </c>
      <c r="O2" s="85"/>
      <c r="P2" s="84" t="s">
        <v>152</v>
      </c>
      <c r="Q2" s="84" t="s">
        <v>153</v>
      </c>
      <c r="R2" s="86" t="s">
        <v>247</v>
      </c>
      <c r="S2" s="143"/>
      <c r="T2" s="83" t="s">
        <v>170</v>
      </c>
      <c r="U2" s="84" t="s">
        <v>171</v>
      </c>
      <c r="V2" s="84" t="s">
        <v>247</v>
      </c>
      <c r="W2" s="138"/>
      <c r="X2" s="84" t="s">
        <v>172</v>
      </c>
      <c r="Y2" s="84" t="s">
        <v>173</v>
      </c>
      <c r="Z2" s="86" t="s">
        <v>247</v>
      </c>
      <c r="AA2" s="143"/>
      <c r="AB2" s="83" t="s">
        <v>207</v>
      </c>
      <c r="AC2" s="84" t="s">
        <v>208</v>
      </c>
      <c r="AD2" s="84" t="s">
        <v>247</v>
      </c>
      <c r="AE2" s="85"/>
      <c r="AF2" s="86" t="s">
        <v>209</v>
      </c>
      <c r="AG2" s="143"/>
      <c r="AH2" s="83" t="s">
        <v>275</v>
      </c>
      <c r="AI2" s="84" t="s">
        <v>276</v>
      </c>
      <c r="AJ2" s="84" t="s">
        <v>247</v>
      </c>
      <c r="AK2" s="144"/>
      <c r="AL2" s="84" t="s">
        <v>279</v>
      </c>
      <c r="AM2" s="84" t="s">
        <v>280</v>
      </c>
      <c r="AN2" s="84" t="s">
        <v>247</v>
      </c>
      <c r="AO2" s="138"/>
      <c r="AP2" s="84" t="s">
        <v>277</v>
      </c>
      <c r="AQ2" s="84" t="s">
        <v>278</v>
      </c>
      <c r="AR2" s="86" t="s">
        <v>247</v>
      </c>
    </row>
    <row r="3" spans="1:44" x14ac:dyDescent="0.3">
      <c r="A3" s="87" t="s">
        <v>188</v>
      </c>
      <c r="B3" s="88" t="s">
        <v>257</v>
      </c>
      <c r="C3" s="141"/>
      <c r="D3" s="88" t="s">
        <v>324</v>
      </c>
      <c r="E3" s="88">
        <v>75953</v>
      </c>
      <c r="F3" s="59">
        <f>IF(_480CblLgth[[#This Row],[480 Cable Length]]="","",COUNTIF('480v Power'!$D$14:$EZ$50000,_480CblLgth[[#This Row],[480 Cable Length]]))</f>
        <v>0</v>
      </c>
      <c r="G3" s="141"/>
      <c r="H3" s="88" t="s">
        <v>372</v>
      </c>
      <c r="I3" s="88">
        <v>19681</v>
      </c>
      <c r="J3" s="59">
        <f>IF(_480Dev[[#This Row],[480 Device]]="","",COUNTIF('480v Power'!$D$14:$EZ$50000,_480Dev[[#This Row],[480 Device]]))</f>
        <v>0</v>
      </c>
      <c r="K3" s="141"/>
      <c r="L3" s="88" t="s">
        <v>384</v>
      </c>
      <c r="M3" s="88">
        <v>18601</v>
      </c>
      <c r="N3" s="59">
        <f>IF(_120CblLgth[[#This Row],[120 Cable Length]]="","",COUNTIF('120v Power'!$B$14:$EZ$50000,_120CblLgth[[#This Row],[120 Cable Length]]))</f>
        <v>0</v>
      </c>
      <c r="O3" s="81"/>
      <c r="P3" s="88" t="s">
        <v>402</v>
      </c>
      <c r="Q3" s="88">
        <v>11520</v>
      </c>
      <c r="R3" s="59">
        <f>IF(_120Dev[[#This Row],[120 Device]]="","",COUNTIF('120v Power'!$B$14:$EZ$50000,_120Dev[[#This Row],[120 Device]]))</f>
        <v>3</v>
      </c>
      <c r="S3" s="141"/>
      <c r="T3" s="88" t="s">
        <v>420</v>
      </c>
      <c r="U3" s="88">
        <v>18621</v>
      </c>
      <c r="V3" s="59">
        <f>IF(_24CblLgth[[#This Row],[24 Cable Length]]="","",COUNTIF('24v Power'!$B$14:$EZ$50000,_24CblLgth[[#This Row],[24 Cable Length]]))</f>
        <v>0</v>
      </c>
      <c r="W3" s="141"/>
      <c r="X3" s="88" t="s">
        <v>405</v>
      </c>
      <c r="Y3" s="88">
        <v>15870</v>
      </c>
      <c r="Z3" s="59">
        <f>IF(_24Dev[[#This Row],[24 Device]]="","",COUNTIF('24v Power'!$B$14:$EZ$50000,_24Dev[[#This Row],[24 Device]]))</f>
        <v>0</v>
      </c>
      <c r="AA3" s="141"/>
      <c r="AB3" s="88" t="s">
        <v>469</v>
      </c>
      <c r="AC3" s="88">
        <v>18758</v>
      </c>
      <c r="AD3" s="59">
        <f>IF(_ENetCblLgth[[#This Row],[ENet Cable Length]]="","",COUNTIF(Ethernet!$C$14:$EZ$50000,_ENetCblLgth[[#This Row],[ENet Cable Length]]))</f>
        <v>0</v>
      </c>
      <c r="AE3" s="81"/>
      <c r="AF3" s="89" t="s">
        <v>419</v>
      </c>
      <c r="AG3" s="141"/>
      <c r="AH3" s="88" t="s">
        <v>570</v>
      </c>
      <c r="AI3" s="88">
        <v>18550</v>
      </c>
      <c r="AJ3" s="59">
        <f>IF(_IOCblLgth[[#This Row],[IO Cable Length]]="","",COUNTIF(('Safety IO'!$C$12:$EZ$50000),_IOCblLgth[[#This Row],[IO Cable Length]])+COUNTIF(('Standard IO'!$C$12:$EZ$49995),_IOCblLgth[[#This Row],[IO Cable Length]]))</f>
        <v>0</v>
      </c>
      <c r="AK3" s="138"/>
      <c r="AL3" s="88" t="s">
        <v>606</v>
      </c>
      <c r="AM3" s="88">
        <v>21764</v>
      </c>
      <c r="AN3" s="59">
        <f>IF(_SafeIODev[[#This Row],[Safe IO Device]]="","",COUNTIF('Safety IO'!$C$12:$EZ$50000,_SafeIODev[[#This Row],[Safe IO Device]]))</f>
        <v>0</v>
      </c>
      <c r="AO3" s="141"/>
      <c r="AP3" s="88" t="s">
        <v>379</v>
      </c>
      <c r="AQ3" s="88" t="s">
        <v>383</v>
      </c>
      <c r="AR3" s="59">
        <f>IF(_IODev[[#This Row],[IO Device]]="","",COUNTIF('Standard IO'!$C$12:$EZ$49995,_IODev[[#This Row],[IO Device]]))</f>
        <v>2</v>
      </c>
    </row>
    <row r="4" spans="1:44" x14ac:dyDescent="0.3">
      <c r="A4" s="90" t="s">
        <v>189</v>
      </c>
      <c r="B4" s="82" t="s">
        <v>258</v>
      </c>
      <c r="C4" s="141"/>
      <c r="D4" s="82" t="s">
        <v>325</v>
      </c>
      <c r="E4" s="82">
        <v>75953</v>
      </c>
      <c r="F4" s="60">
        <f>IF(_480CblLgth[[#This Row],[480 Cable Length]]="","",COUNTIF('480v Power'!$D$14:$EZ$50000,_480CblLgth[[#This Row],[480 Cable Length]]))</f>
        <v>0</v>
      </c>
      <c r="G4" s="141"/>
      <c r="H4" s="82" t="s">
        <v>373</v>
      </c>
      <c r="I4" s="82">
        <v>19680</v>
      </c>
      <c r="J4" s="60">
        <f>IF(_480Dev[[#This Row],[480 Device]]="","",COUNTIF('480v Power'!$D$14:$EZ$50000,_480Dev[[#This Row],[480 Device]]))</f>
        <v>0</v>
      </c>
      <c r="K4" s="141"/>
      <c r="L4" s="82" t="s">
        <v>385</v>
      </c>
      <c r="M4" s="82">
        <v>18602</v>
      </c>
      <c r="N4" s="60">
        <f>IF(_120CblLgth[[#This Row],[120 Cable Length]]="","",COUNTIF('120v Power'!$B$14:$EZ$50000,_120CblLgth[[#This Row],[120 Cable Length]]))</f>
        <v>0</v>
      </c>
      <c r="O4" s="81"/>
      <c r="P4" s="82" t="s">
        <v>403</v>
      </c>
      <c r="Q4" s="82">
        <v>11523</v>
      </c>
      <c r="R4" s="60">
        <f>IF(_120Dev[[#This Row],[120 Device]]="","",COUNTIF('120v Power'!$B$14:$EZ$50000,_120Dev[[#This Row],[120 Device]]))</f>
        <v>0</v>
      </c>
      <c r="S4" s="141"/>
      <c r="T4" s="82" t="s">
        <v>421</v>
      </c>
      <c r="U4" s="82">
        <v>18622</v>
      </c>
      <c r="V4" s="60">
        <f>IF(_24CblLgth[[#This Row],[24 Cable Length]]="","",COUNTIF('24v Power'!$B$14:$EZ$50000,_24CblLgth[[#This Row],[24 Cable Length]]))</f>
        <v>0</v>
      </c>
      <c r="W4" s="141"/>
      <c r="X4" s="82" t="s">
        <v>440</v>
      </c>
      <c r="Y4" s="82">
        <v>19137</v>
      </c>
      <c r="Z4" s="60">
        <f>IF(_24Dev[[#This Row],[24 Device]]="","",COUNTIF('24v Power'!$B$14:$EZ$50000,_24Dev[[#This Row],[24 Device]]))</f>
        <v>0</v>
      </c>
      <c r="AA4" s="141"/>
      <c r="AB4" s="82" t="s">
        <v>470</v>
      </c>
      <c r="AC4" s="82">
        <v>18759</v>
      </c>
      <c r="AD4" s="60">
        <f>IF(_ENetCblLgth[[#This Row],[ENet Cable Length]]="","",COUNTIF(Ethernet!$C$14:$EZ$50000,_ENetCblLgth[[#This Row],[ENet Cable Length]]))</f>
        <v>0</v>
      </c>
      <c r="AE4" s="81"/>
      <c r="AF4" s="91" t="s">
        <v>442</v>
      </c>
      <c r="AG4" s="141"/>
      <c r="AH4" s="82" t="s">
        <v>571</v>
      </c>
      <c r="AI4" s="82">
        <v>18501</v>
      </c>
      <c r="AJ4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" s="141"/>
      <c r="AL4" s="82" t="s">
        <v>607</v>
      </c>
      <c r="AM4" s="82">
        <v>21751</v>
      </c>
      <c r="AN4" s="60">
        <f>IF(_SafeIODev[[#This Row],[Safe IO Device]]="","",COUNTIF('Safety IO'!$C$12:$EZ$50000,_SafeIODev[[#This Row],[Safe IO Device]]))</f>
        <v>0</v>
      </c>
      <c r="AO4" s="141"/>
      <c r="AP4" s="82" t="s">
        <v>632</v>
      </c>
      <c r="AQ4" s="82" t="s">
        <v>633</v>
      </c>
      <c r="AR4" s="60">
        <f>IF(_IODev[[#This Row],[IO Device]]="","",COUNTIF('Standard IO'!$C$12:$EZ$49995,_IODev[[#This Row],[IO Device]]))</f>
        <v>0</v>
      </c>
    </row>
    <row r="5" spans="1:44" x14ac:dyDescent="0.3">
      <c r="A5" s="90" t="s">
        <v>190</v>
      </c>
      <c r="B5" s="82" t="s">
        <v>259</v>
      </c>
      <c r="C5" s="141"/>
      <c r="D5" s="82" t="s">
        <v>326</v>
      </c>
      <c r="E5" s="82">
        <v>75953</v>
      </c>
      <c r="F5" s="60">
        <f>IF(_480CblLgth[[#This Row],[480 Cable Length]]="","",COUNTIF('480v Power'!$D$14:$EZ$50000,_480CblLgth[[#This Row],[480 Cable Length]]))</f>
        <v>0</v>
      </c>
      <c r="G5" s="141"/>
      <c r="H5" s="82" t="s">
        <v>374</v>
      </c>
      <c r="I5" s="82">
        <v>19682</v>
      </c>
      <c r="J5" s="60">
        <f>IF(_480Dev[[#This Row],[480 Device]]="","",COUNTIF('480v Power'!$D$14:$EZ$50000,_480Dev[[#This Row],[480 Device]]))</f>
        <v>0</v>
      </c>
      <c r="K5" s="141"/>
      <c r="L5" s="82" t="s">
        <v>386</v>
      </c>
      <c r="M5" s="82">
        <v>18603</v>
      </c>
      <c r="N5" s="60">
        <f>IF(_120CblLgth[[#This Row],[120 Cable Length]]="","",COUNTIF('120v Power'!$B$14:$EZ$50000,_120CblLgth[[#This Row],[120 Cable Length]]))</f>
        <v>0</v>
      </c>
      <c r="O5" s="81"/>
      <c r="P5" s="82" t="s">
        <v>404</v>
      </c>
      <c r="Q5" s="82">
        <v>19143</v>
      </c>
      <c r="R5" s="60">
        <f>IF(_120Dev[[#This Row],[120 Device]]="","",COUNTIF('120v Power'!$B$14:$EZ$50000,_120Dev[[#This Row],[120 Device]]))</f>
        <v>1</v>
      </c>
      <c r="S5" s="141"/>
      <c r="T5" s="82" t="s">
        <v>422</v>
      </c>
      <c r="U5" s="82">
        <v>18623</v>
      </c>
      <c r="V5" s="60">
        <f>IF(_24CblLgth[[#This Row],[24 Cable Length]]="","",COUNTIF('24v Power'!$B$14:$EZ$50000,_24CblLgth[[#This Row],[24 Cable Length]]))</f>
        <v>0</v>
      </c>
      <c r="W5" s="141"/>
      <c r="X5" s="82" t="s">
        <v>441</v>
      </c>
      <c r="Y5" s="82">
        <v>19144</v>
      </c>
      <c r="Z5" s="60">
        <f>IF(_24Dev[[#This Row],[24 Device]]="","",COUNTIF('24v Power'!$B$14:$EZ$50000,_24Dev[[#This Row],[24 Device]]))</f>
        <v>0</v>
      </c>
      <c r="AA5" s="141"/>
      <c r="AB5" s="82" t="s">
        <v>471</v>
      </c>
      <c r="AC5" s="82">
        <v>18798</v>
      </c>
      <c r="AD5" s="60">
        <f>IF(_ENetCblLgth[[#This Row],[ENet Cable Length]]="","",COUNTIF(Ethernet!$C$14:$EZ$50000,_ENetCblLgth[[#This Row],[ENet Cable Length]]))</f>
        <v>0</v>
      </c>
      <c r="AE5" s="81"/>
      <c r="AF5" s="91" t="s">
        <v>564</v>
      </c>
      <c r="AG5" s="141"/>
      <c r="AH5" s="82" t="s">
        <v>420</v>
      </c>
      <c r="AI5" s="82">
        <v>18502</v>
      </c>
      <c r="AJ5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5" s="141"/>
      <c r="AL5" s="82" t="s">
        <v>608</v>
      </c>
      <c r="AM5" s="82">
        <v>21750</v>
      </c>
      <c r="AN5" s="60">
        <f>IF(_SafeIODev[[#This Row],[Safe IO Device]]="","",COUNTIF('Safety IO'!$C$12:$EZ$50000,_SafeIODev[[#This Row],[Safe IO Device]]))</f>
        <v>0</v>
      </c>
      <c r="AO5" s="141"/>
      <c r="AP5" s="82" t="s">
        <v>634</v>
      </c>
      <c r="AQ5" s="82">
        <v>22200</v>
      </c>
      <c r="AR5" s="60">
        <f>IF(_IODev[[#This Row],[IO Device]]="","",COUNTIF('Standard IO'!$C$12:$EZ$49995,_IODev[[#This Row],[IO Device]]))</f>
        <v>0</v>
      </c>
    </row>
    <row r="6" spans="1:44" x14ac:dyDescent="0.3">
      <c r="A6" s="90" t="s">
        <v>191</v>
      </c>
      <c r="B6" s="82" t="s">
        <v>260</v>
      </c>
      <c r="C6" s="141"/>
      <c r="D6" s="82" t="s">
        <v>327</v>
      </c>
      <c r="E6" s="82">
        <v>75953</v>
      </c>
      <c r="F6" s="60">
        <f>IF(_480CblLgth[[#This Row],[480 Cable Length]]="","",COUNTIF('480v Power'!$D$14:$EZ$50000,_480CblLgth[[#This Row],[480 Cable Length]]))</f>
        <v>0</v>
      </c>
      <c r="G6" s="141"/>
      <c r="H6" s="82" t="s">
        <v>375</v>
      </c>
      <c r="I6" s="82" t="s">
        <v>381</v>
      </c>
      <c r="J6" s="60">
        <f>IF(_480Dev[[#This Row],[480 Device]]="","",COUNTIF('480v Power'!$D$14:$EZ$50000,_480Dev[[#This Row],[480 Device]]))</f>
        <v>4</v>
      </c>
      <c r="K6" s="141"/>
      <c r="L6" s="82" t="s">
        <v>387</v>
      </c>
      <c r="M6" s="82">
        <v>18604</v>
      </c>
      <c r="N6" s="60">
        <f>IF(_120CblLgth[[#This Row],[120 Cable Length]]="","",COUNTIF('120v Power'!$B$14:$EZ$50000,_120CblLgth[[#This Row],[120 Cable Length]]))</f>
        <v>0</v>
      </c>
      <c r="O6" s="81"/>
      <c r="P6" s="82" t="s">
        <v>405</v>
      </c>
      <c r="Q6" s="82">
        <v>15870</v>
      </c>
      <c r="R6" s="60">
        <f>IF(_120Dev[[#This Row],[120 Device]]="","",COUNTIF('120v Power'!$B$14:$EZ$50000,_120Dev[[#This Row],[120 Device]]))</f>
        <v>11</v>
      </c>
      <c r="S6" s="141"/>
      <c r="T6" s="82" t="s">
        <v>423</v>
      </c>
      <c r="U6" s="82">
        <v>18624</v>
      </c>
      <c r="V6" s="60">
        <f>IF(_24CblLgth[[#This Row],[24 Cable Length]]="","",COUNTIF('24v Power'!$B$14:$EZ$50000,_24CblLgth[[#This Row],[24 Cable Length]]))</f>
        <v>0</v>
      </c>
      <c r="W6" s="141"/>
      <c r="X6" s="82" t="s">
        <v>419</v>
      </c>
      <c r="Y6" s="82" t="s">
        <v>193</v>
      </c>
      <c r="Z6" s="60">
        <f>IF(_24Dev[[#This Row],[24 Device]]="","",COUNTIF('24v Power'!$B$14:$EZ$50000,_24Dev[[#This Row],[24 Device]]))</f>
        <v>0</v>
      </c>
      <c r="AA6" s="141"/>
      <c r="AB6" s="82" t="s">
        <v>472</v>
      </c>
      <c r="AC6" s="82">
        <v>18760</v>
      </c>
      <c r="AD6" s="60">
        <f>IF(_ENetCblLgth[[#This Row],[ENet Cable Length]]="","",COUNTIF(Ethernet!$C$14:$EZ$50000,_ENetCblLgth[[#This Row],[ENet Cable Length]]))</f>
        <v>0</v>
      </c>
      <c r="AE6" s="81"/>
      <c r="AF6" s="91" t="s">
        <v>446</v>
      </c>
      <c r="AG6" s="141"/>
      <c r="AH6" s="82" t="s">
        <v>572</v>
      </c>
      <c r="AI6" s="82">
        <v>18503</v>
      </c>
      <c r="AJ6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6" s="141"/>
      <c r="AL6" s="82" t="s">
        <v>609</v>
      </c>
      <c r="AM6" s="82" t="s">
        <v>610</v>
      </c>
      <c r="AN6" s="60">
        <f>IF(_SafeIODev[[#This Row],[Safe IO Device]]="","",COUNTIF('Safety IO'!$C$12:$EZ$50000,_SafeIODev[[#This Row],[Safe IO Device]]))</f>
        <v>0</v>
      </c>
      <c r="AO6" s="141"/>
      <c r="AP6" s="82" t="s">
        <v>635</v>
      </c>
      <c r="AQ6" s="82">
        <v>22250</v>
      </c>
      <c r="AR6" s="60">
        <f>IF(_IODev[[#This Row],[IO Device]]="","",COUNTIF('Standard IO'!$C$12:$EZ$49995,_IODev[[#This Row],[IO Device]]))</f>
        <v>0</v>
      </c>
    </row>
    <row r="7" spans="1:44" x14ac:dyDescent="0.3">
      <c r="A7" s="90" t="s">
        <v>192</v>
      </c>
      <c r="B7" s="82" t="s">
        <v>261</v>
      </c>
      <c r="C7" s="141"/>
      <c r="D7" s="82" t="s">
        <v>328</v>
      </c>
      <c r="E7" s="82">
        <v>75953</v>
      </c>
      <c r="F7" s="60">
        <f>IF(_480CblLgth[[#This Row],[480 Cable Length]]="","",COUNTIF('480v Power'!$D$14:$EZ$50000,_480CblLgth[[#This Row],[480 Cable Length]]))</f>
        <v>0</v>
      </c>
      <c r="G7" s="141"/>
      <c r="H7" s="82" t="s">
        <v>376</v>
      </c>
      <c r="I7" s="82">
        <v>15700</v>
      </c>
      <c r="J7" s="60">
        <f>IF(_480Dev[[#This Row],[480 Device]]="","",COUNTIF('480v Power'!$D$14:$EZ$50000,_480Dev[[#This Row],[480 Device]]))</f>
        <v>0</v>
      </c>
      <c r="K7" s="141"/>
      <c r="L7" s="82" t="s">
        <v>388</v>
      </c>
      <c r="M7" s="82">
        <v>18606</v>
      </c>
      <c r="N7" s="60">
        <f>IF(_120CblLgth[[#This Row],[120 Cable Length]]="","",COUNTIF('120v Power'!$B$14:$EZ$50000,_120CblLgth[[#This Row],[120 Cable Length]]))</f>
        <v>0</v>
      </c>
      <c r="O7" s="81"/>
      <c r="P7" s="82" t="s">
        <v>406</v>
      </c>
      <c r="Q7" s="82">
        <v>15720</v>
      </c>
      <c r="R7" s="60">
        <f>IF(_120Dev[[#This Row],[120 Device]]="","",COUNTIF('120v Power'!$B$14:$EZ$50000,_120Dev[[#This Row],[120 Device]]))</f>
        <v>0</v>
      </c>
      <c r="S7" s="141"/>
      <c r="T7" s="82" t="s">
        <v>424</v>
      </c>
      <c r="U7" s="82">
        <v>18625</v>
      </c>
      <c r="V7" s="60">
        <f>IF(_24CblLgth[[#This Row],[24 Cable Length]]="","",COUNTIF('24v Power'!$B$14:$EZ$50000,_24CblLgth[[#This Row],[24 Cable Length]]))</f>
        <v>0</v>
      </c>
      <c r="W7" s="141"/>
      <c r="X7" s="82" t="s">
        <v>442</v>
      </c>
      <c r="Y7" s="82">
        <v>65022</v>
      </c>
      <c r="Z7" s="60">
        <f>IF(_24Dev[[#This Row],[24 Device]]="","",COUNTIF('24v Power'!$B$14:$EZ$50000,_24Dev[[#This Row],[24 Device]]))</f>
        <v>1</v>
      </c>
      <c r="AA7" s="141"/>
      <c r="AB7" s="82" t="s">
        <v>473</v>
      </c>
      <c r="AC7" s="82">
        <v>18761</v>
      </c>
      <c r="AD7" s="60">
        <f>IF(_ENetCblLgth[[#This Row],[ENet Cable Length]]="","",COUNTIF(Ethernet!$C$14:$EZ$50000,_ENetCblLgth[[#This Row],[ENet Cable Length]]))</f>
        <v>0</v>
      </c>
      <c r="AE7" s="81"/>
      <c r="AF7" s="91" t="s">
        <v>448</v>
      </c>
      <c r="AG7" s="141"/>
      <c r="AH7" s="82" t="s">
        <v>421</v>
      </c>
      <c r="AI7" s="82">
        <v>18504</v>
      </c>
      <c r="AJ7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7" s="141"/>
      <c r="AL7" s="82" t="s">
        <v>258</v>
      </c>
      <c r="AM7" s="82">
        <v>64441</v>
      </c>
      <c r="AN7" s="60">
        <f>IF(_SafeIODev[[#This Row],[Safe IO Device]]="","",COUNTIF('Safety IO'!$C$12:$EZ$50000,_SafeIODev[[#This Row],[Safe IO Device]]))</f>
        <v>4</v>
      </c>
      <c r="AO7" s="141"/>
      <c r="AP7" s="82" t="s">
        <v>636</v>
      </c>
      <c r="AQ7" s="82">
        <v>21114</v>
      </c>
      <c r="AR7" s="60">
        <f>IF(_IODev[[#This Row],[IO Device]]="","",COUNTIF('Standard IO'!$C$12:$EZ$49995,_IODev[[#This Row],[IO Device]]))</f>
        <v>0</v>
      </c>
    </row>
    <row r="8" spans="1:44" x14ac:dyDescent="0.3">
      <c r="A8" s="90" t="s">
        <v>193</v>
      </c>
      <c r="B8" s="82" t="s">
        <v>262</v>
      </c>
      <c r="C8" s="141"/>
      <c r="D8" s="82" t="s">
        <v>329</v>
      </c>
      <c r="E8" s="82">
        <v>75953</v>
      </c>
      <c r="F8" s="60">
        <f>IF(_480CblLgth[[#This Row],[480 Cable Length]]="","",COUNTIF('480v Power'!$D$14:$EZ$50000,_480CblLgth[[#This Row],[480 Cable Length]]))</f>
        <v>0</v>
      </c>
      <c r="G8" s="141"/>
      <c r="H8" s="82" t="s">
        <v>377</v>
      </c>
      <c r="I8" s="82">
        <v>19651</v>
      </c>
      <c r="J8" s="60">
        <f>IF(_480Dev[[#This Row],[480 Device]]="","",COUNTIF('480v Power'!$D$14:$EZ$50000,_480Dev[[#This Row],[480 Device]]))</f>
        <v>0</v>
      </c>
      <c r="K8" s="141"/>
      <c r="L8" s="82" t="s">
        <v>389</v>
      </c>
      <c r="M8" s="82">
        <v>18607</v>
      </c>
      <c r="N8" s="60">
        <f>IF(_120CblLgth[[#This Row],[120 Cable Length]]="","",COUNTIF('120v Power'!$B$14:$EZ$50000,_120CblLgth[[#This Row],[120 Cable Length]]))</f>
        <v>0</v>
      </c>
      <c r="O8" s="81"/>
      <c r="P8" s="82" t="s">
        <v>407</v>
      </c>
      <c r="Q8" s="82" t="s">
        <v>408</v>
      </c>
      <c r="R8" s="60">
        <f>IF(_120Dev[[#This Row],[120 Device]]="","",COUNTIF('120v Power'!$B$14:$EZ$50000,_120Dev[[#This Row],[120 Device]]))</f>
        <v>1</v>
      </c>
      <c r="S8" s="141"/>
      <c r="T8" s="82" t="s">
        <v>425</v>
      </c>
      <c r="U8" s="82">
        <v>18626</v>
      </c>
      <c r="V8" s="60">
        <f>IF(_24CblLgth[[#This Row],[24 Cable Length]]="","",COUNTIF('24v Power'!$B$14:$EZ$50000,_24CblLgth[[#This Row],[24 Cable Length]]))</f>
        <v>0</v>
      </c>
      <c r="W8" s="141"/>
      <c r="X8" s="82" t="s">
        <v>443</v>
      </c>
      <c r="Y8" s="82" t="s">
        <v>201</v>
      </c>
      <c r="Z8" s="60">
        <f>IF(_24Dev[[#This Row],[24 Device]]="","",COUNTIF('24v Power'!$B$14:$EZ$50000,_24Dev[[#This Row],[24 Device]]))</f>
        <v>0</v>
      </c>
      <c r="AA8" s="141"/>
      <c r="AB8" s="82" t="s">
        <v>474</v>
      </c>
      <c r="AC8" s="82">
        <v>18762</v>
      </c>
      <c r="AD8" s="60">
        <f>IF(_ENetCblLgth[[#This Row],[ENet Cable Length]]="","",COUNTIF(Ethernet!$C$14:$EZ$50000,_ENetCblLgth[[#This Row],[ENet Cable Length]]))</f>
        <v>0</v>
      </c>
      <c r="AE8" s="81"/>
      <c r="AF8" s="91" t="s">
        <v>453</v>
      </c>
      <c r="AG8" s="141"/>
      <c r="AH8" s="82" t="s">
        <v>422</v>
      </c>
      <c r="AI8" s="82">
        <v>18505</v>
      </c>
      <c r="AJ8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8" s="141"/>
      <c r="AL8" s="82" t="s">
        <v>611</v>
      </c>
      <c r="AM8" s="82">
        <v>21113</v>
      </c>
      <c r="AN8" s="60">
        <f>IF(_SafeIODev[[#This Row],[Safe IO Device]]="","",COUNTIF('Safety IO'!$C$12:$EZ$50000,_SafeIODev[[#This Row],[Safe IO Device]]))</f>
        <v>0</v>
      </c>
      <c r="AO8" s="141"/>
      <c r="AP8" s="82" t="s">
        <v>611</v>
      </c>
      <c r="AQ8" s="82">
        <v>21113</v>
      </c>
      <c r="AR8" s="60">
        <f>IF(_IODev[[#This Row],[IO Device]]="","",COUNTIF('Standard IO'!$C$12:$EZ$49995,_IODev[[#This Row],[IO Device]]))</f>
        <v>0</v>
      </c>
    </row>
    <row r="9" spans="1:44" x14ac:dyDescent="0.3">
      <c r="A9" s="90" t="s">
        <v>194</v>
      </c>
      <c r="B9" s="82" t="s">
        <v>263</v>
      </c>
      <c r="C9" s="141"/>
      <c r="D9" s="82" t="s">
        <v>330</v>
      </c>
      <c r="E9" s="82">
        <v>75953</v>
      </c>
      <c r="F9" s="60">
        <f>IF(_480CblLgth[[#This Row],[480 Cable Length]]="","",COUNTIF('480v Power'!$D$14:$EZ$50000,_480CblLgth[[#This Row],[480 Cable Length]]))</f>
        <v>0</v>
      </c>
      <c r="G9" s="141"/>
      <c r="H9" s="82" t="s">
        <v>378</v>
      </c>
      <c r="I9" s="82" t="s">
        <v>382</v>
      </c>
      <c r="J9" s="60">
        <f>IF(_480Dev[[#This Row],[480 Device]]="","",COUNTIF('480v Power'!$D$14:$EZ$50000,_480Dev[[#This Row],[480 Device]]))</f>
        <v>0</v>
      </c>
      <c r="K9" s="141"/>
      <c r="L9" s="82" t="s">
        <v>390</v>
      </c>
      <c r="M9" s="82">
        <v>18608</v>
      </c>
      <c r="N9" s="60">
        <f>IF(_120CblLgth[[#This Row],[120 Cable Length]]="","",COUNTIF('120v Power'!$B$14:$EZ$50000,_120CblLgth[[#This Row],[120 Cable Length]]))</f>
        <v>0</v>
      </c>
      <c r="O9" s="81"/>
      <c r="P9" s="82" t="s">
        <v>409</v>
      </c>
      <c r="Q9" s="82" t="s">
        <v>410</v>
      </c>
      <c r="R9" s="60">
        <f>IF(_120Dev[[#This Row],[120 Device]]="","",COUNTIF('120v Power'!$B$14:$EZ$50000,_120Dev[[#This Row],[120 Device]]))</f>
        <v>0</v>
      </c>
      <c r="S9" s="141"/>
      <c r="T9" s="82" t="s">
        <v>426</v>
      </c>
      <c r="U9" s="82">
        <v>18627</v>
      </c>
      <c r="V9" s="60">
        <f>IF(_24CblLgth[[#This Row],[24 Cable Length]]="","",COUNTIF('24v Power'!$B$14:$EZ$50000,_24CblLgth[[#This Row],[24 Cable Length]]))</f>
        <v>0</v>
      </c>
      <c r="W9" s="141"/>
      <c r="X9" s="82" t="s">
        <v>444</v>
      </c>
      <c r="Y9" s="82" t="s">
        <v>202</v>
      </c>
      <c r="Z9" s="60">
        <f>IF(_24Dev[[#This Row],[24 Device]]="","",COUNTIF('24v Power'!$B$14:$EZ$50000,_24Dev[[#This Row],[24 Device]]))</f>
        <v>0</v>
      </c>
      <c r="AA9" s="141"/>
      <c r="AB9" s="82" t="s">
        <v>475</v>
      </c>
      <c r="AC9" s="82">
        <v>18763</v>
      </c>
      <c r="AD9" s="60">
        <f>IF(_ENetCblLgth[[#This Row],[ENet Cable Length]]="","",COUNTIF(Ethernet!$C$14:$EZ$50000,_ENetCblLgth[[#This Row],[ENet Cable Length]]))</f>
        <v>0</v>
      </c>
      <c r="AE9" s="81"/>
      <c r="AF9" s="91" t="s">
        <v>454</v>
      </c>
      <c r="AG9" s="141"/>
      <c r="AH9" s="82" t="s">
        <v>423</v>
      </c>
      <c r="AI9" s="82">
        <v>18506</v>
      </c>
      <c r="AJ9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9" s="141"/>
      <c r="AL9" s="82" t="s">
        <v>612</v>
      </c>
      <c r="AM9" s="82">
        <v>64037</v>
      </c>
      <c r="AN9" s="60">
        <f>IF(_SafeIODev[[#This Row],[Safe IO Device]]="","",COUNTIF('Safety IO'!$C$12:$EZ$50000,_SafeIODev[[#This Row],[Safe IO Device]]))</f>
        <v>0</v>
      </c>
      <c r="AO9" s="141"/>
      <c r="AP9" s="82" t="s">
        <v>637</v>
      </c>
      <c r="AR9" s="60">
        <f>IF(_IODev[[#This Row],[IO Device]]="","",COUNTIF('Standard IO'!$C$12:$EZ$49995,_IODev[[#This Row],[IO Device]]))</f>
        <v>0</v>
      </c>
    </row>
    <row r="10" spans="1:44" x14ac:dyDescent="0.3">
      <c r="A10" s="90" t="s">
        <v>195</v>
      </c>
      <c r="B10" s="82" t="s">
        <v>264</v>
      </c>
      <c r="C10" s="141"/>
      <c r="D10" s="82" t="s">
        <v>331</v>
      </c>
      <c r="E10" s="82">
        <v>75953</v>
      </c>
      <c r="F10" s="60">
        <f>IF(_480CblLgth[[#This Row],[480 Cable Length]]="","",COUNTIF('480v Power'!$D$14:$EZ$50000,_480CblLgth[[#This Row],[480 Cable Length]]))</f>
        <v>0</v>
      </c>
      <c r="G10" s="141"/>
      <c r="H10" s="82" t="s">
        <v>379</v>
      </c>
      <c r="I10" s="82" t="s">
        <v>383</v>
      </c>
      <c r="J10" s="60">
        <f>IF(_480Dev[[#This Row],[480 Device]]="","",COUNTIF('480v Power'!$D$14:$EZ$50000,_480Dev[[#This Row],[480 Device]]))</f>
        <v>1</v>
      </c>
      <c r="K10" s="141"/>
      <c r="L10" s="82" t="s">
        <v>391</v>
      </c>
      <c r="M10" s="82">
        <v>18609</v>
      </c>
      <c r="N10" s="60">
        <f>IF(_120CblLgth[[#This Row],[120 Cable Length]]="","",COUNTIF('120v Power'!$B$14:$EZ$50000,_120CblLgth[[#This Row],[120 Cable Length]]))</f>
        <v>0</v>
      </c>
      <c r="O10" s="81"/>
      <c r="P10" s="82" t="s">
        <v>411</v>
      </c>
      <c r="Q10" s="82" t="s">
        <v>412</v>
      </c>
      <c r="R10" s="60">
        <f>IF(_120Dev[[#This Row],[120 Device]]="","",COUNTIF('120v Power'!$B$14:$EZ$50000,_120Dev[[#This Row],[120 Device]]))</f>
        <v>0</v>
      </c>
      <c r="S10" s="141"/>
      <c r="T10" s="82" t="s">
        <v>427</v>
      </c>
      <c r="U10" s="82">
        <v>18628</v>
      </c>
      <c r="V10" s="60">
        <f>IF(_24CblLgth[[#This Row],[24 Cable Length]]="","",COUNTIF('24v Power'!$B$14:$EZ$50000,_24CblLgth[[#This Row],[24 Cable Length]]))</f>
        <v>0</v>
      </c>
      <c r="W10" s="141"/>
      <c r="X10" s="82" t="s">
        <v>445</v>
      </c>
      <c r="Y10" s="82" t="s">
        <v>203</v>
      </c>
      <c r="Z10" s="60">
        <f>IF(_24Dev[[#This Row],[24 Device]]="","",COUNTIF('24v Power'!$B$14:$EZ$50000,_24Dev[[#This Row],[24 Device]]))</f>
        <v>0</v>
      </c>
      <c r="AA10" s="141"/>
      <c r="AB10" s="82" t="s">
        <v>476</v>
      </c>
      <c r="AC10" s="82">
        <v>18764</v>
      </c>
      <c r="AD10" s="60">
        <f>IF(_ENetCblLgth[[#This Row],[ENet Cable Length]]="","",COUNTIF(Ethernet!$C$14:$EZ$50000,_ENetCblLgth[[#This Row],[ENet Cable Length]]))</f>
        <v>0</v>
      </c>
      <c r="AE10" s="81"/>
      <c r="AF10" s="91" t="s">
        <v>455</v>
      </c>
      <c r="AG10" s="141"/>
      <c r="AH10" s="82" t="s">
        <v>424</v>
      </c>
      <c r="AI10" s="82">
        <v>18507</v>
      </c>
      <c r="AJ10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0" s="141"/>
      <c r="AL10" s="82" t="s">
        <v>613</v>
      </c>
      <c r="AM10" s="82">
        <v>16037</v>
      </c>
      <c r="AN10" s="60">
        <f>IF(_SafeIODev[[#This Row],[Safe IO Device]]="","",COUNTIF('Safety IO'!$C$12:$EZ$50000,_SafeIODev[[#This Row],[Safe IO Device]]))</f>
        <v>0</v>
      </c>
      <c r="AO10" s="141"/>
      <c r="AP10" s="82" t="s">
        <v>638</v>
      </c>
      <c r="AQ10" s="150" t="s">
        <v>639</v>
      </c>
      <c r="AR10" s="60">
        <f>IF(_IODev[[#This Row],[IO Device]]="","",COUNTIF('Standard IO'!$C$12:$EZ$49995,_IODev[[#This Row],[IO Device]]))</f>
        <v>0</v>
      </c>
    </row>
    <row r="11" spans="1:44" x14ac:dyDescent="0.3">
      <c r="A11" s="90" t="s">
        <v>314</v>
      </c>
      <c r="B11" s="82" t="s">
        <v>672</v>
      </c>
      <c r="C11" s="141"/>
      <c r="D11" s="82" t="s">
        <v>332</v>
      </c>
      <c r="E11" s="82">
        <v>75953</v>
      </c>
      <c r="F11" s="60">
        <f>IF(_480CblLgth[[#This Row],[480 Cable Length]]="","",COUNTIF('480v Power'!$D$14:$EZ$50000,_480CblLgth[[#This Row],[480 Cable Length]]))</f>
        <v>0</v>
      </c>
      <c r="G11" s="141"/>
      <c r="H11" s="82" t="s">
        <v>380</v>
      </c>
      <c r="I11" s="82" t="s">
        <v>194</v>
      </c>
      <c r="J11" s="60">
        <f>IF(_480Dev[[#This Row],[480 Device]]="","",COUNTIF('480v Power'!$D$14:$EZ$50000,_480Dev[[#This Row],[480 Device]]))</f>
        <v>1</v>
      </c>
      <c r="K11" s="141"/>
      <c r="L11" s="82" t="s">
        <v>392</v>
      </c>
      <c r="M11" s="82">
        <v>18610</v>
      </c>
      <c r="N11" s="60">
        <f>IF(_120CblLgth[[#This Row],[120 Cable Length]]="","",COUNTIF('120v Power'!$B$14:$EZ$50000,_120CblLgth[[#This Row],[120 Cable Length]]))</f>
        <v>0</v>
      </c>
      <c r="O11" s="81"/>
      <c r="P11" s="82" t="s">
        <v>413</v>
      </c>
      <c r="Q11" s="82">
        <v>19139</v>
      </c>
      <c r="R11" s="60">
        <f>IF(_120Dev[[#This Row],[120 Device]]="","",COUNTIF('120v Power'!$B$14:$EZ$50000,_120Dev[[#This Row],[120 Device]]))</f>
        <v>1</v>
      </c>
      <c r="S11" s="141"/>
      <c r="T11" s="82" t="s">
        <v>428</v>
      </c>
      <c r="U11" s="82">
        <v>18629</v>
      </c>
      <c r="V11" s="60">
        <f>IF(_24CblLgth[[#This Row],[24 Cable Length]]="","",COUNTIF('24v Power'!$B$14:$EZ$50000,_24CblLgth[[#This Row],[24 Cable Length]]))</f>
        <v>0</v>
      </c>
      <c r="W11" s="141"/>
      <c r="X11" s="82" t="s">
        <v>446</v>
      </c>
      <c r="Y11" s="82" t="s">
        <v>447</v>
      </c>
      <c r="Z11" s="60">
        <f>IF(_24Dev[[#This Row],[24 Device]]="","",COUNTIF('24v Power'!$B$14:$EZ$50000,_24Dev[[#This Row],[24 Device]]))</f>
        <v>0</v>
      </c>
      <c r="AA11" s="141"/>
      <c r="AB11" s="82" t="s">
        <v>477</v>
      </c>
      <c r="AC11" s="82">
        <v>18765</v>
      </c>
      <c r="AD11" s="60">
        <f>IF(_ENetCblLgth[[#This Row],[ENet Cable Length]]="","",COUNTIF(Ethernet!$C$14:$EZ$50000,_ENetCblLgth[[#This Row],[ENet Cable Length]]))</f>
        <v>0</v>
      </c>
      <c r="AE11" s="81"/>
      <c r="AF11" s="91" t="s">
        <v>456</v>
      </c>
      <c r="AG11" s="141"/>
      <c r="AH11" s="82" t="s">
        <v>425</v>
      </c>
      <c r="AI11" s="82">
        <v>18508</v>
      </c>
      <c r="AJ11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1" s="141"/>
      <c r="AL11" s="82" t="s">
        <v>414</v>
      </c>
      <c r="AM11" s="82">
        <v>15716</v>
      </c>
      <c r="AN11" s="60">
        <f>IF(_SafeIODev[[#This Row],[Safe IO Device]]="","",COUNTIF('Safety IO'!$C$12:$EZ$50000,_SafeIODev[[#This Row],[Safe IO Device]]))</f>
        <v>10</v>
      </c>
      <c r="AO11" s="141"/>
      <c r="AP11" s="82" t="s">
        <v>414</v>
      </c>
      <c r="AQ11" s="82">
        <v>15716</v>
      </c>
      <c r="AR11" s="60">
        <f>IF(_IODev[[#This Row],[IO Device]]="","",COUNTIF('Standard IO'!$C$12:$EZ$49995,_IODev[[#This Row],[IO Device]]))</f>
        <v>7</v>
      </c>
    </row>
    <row r="12" spans="1:44" x14ac:dyDescent="0.3">
      <c r="A12" s="90" t="s">
        <v>315</v>
      </c>
      <c r="B12" s="82" t="s">
        <v>316</v>
      </c>
      <c r="C12" s="141"/>
      <c r="D12" s="82" t="s">
        <v>333</v>
      </c>
      <c r="E12" s="82">
        <v>75953</v>
      </c>
      <c r="F12" s="60">
        <f>IF(_480CblLgth[[#This Row],[480 Cable Length]]="","",COUNTIF('480v Power'!$D$14:$EZ$50000,_480CblLgth[[#This Row],[480 Cable Length]]))</f>
        <v>0</v>
      </c>
      <c r="G12" s="141"/>
      <c r="J12" s="60" t="str">
        <f>IF(_480Dev[[#This Row],[480 Device]]="","",COUNTIF('480v Power'!$D$14:$EZ$50000,_480Dev[[#This Row],[480 Device]]))</f>
        <v/>
      </c>
      <c r="K12" s="141"/>
      <c r="L12" s="82" t="s">
        <v>393</v>
      </c>
      <c r="M12" s="82">
        <v>18611</v>
      </c>
      <c r="N12" s="60">
        <f>IF(_120CblLgth[[#This Row],[120 Cable Length]]="","",COUNTIF('120v Power'!$B$14:$EZ$50000,_120CblLgth[[#This Row],[120 Cable Length]]))</f>
        <v>0</v>
      </c>
      <c r="O12" s="81"/>
      <c r="P12" s="82" t="s">
        <v>414</v>
      </c>
      <c r="Q12" s="82">
        <v>15716</v>
      </c>
      <c r="R12" s="60">
        <f>IF(_120Dev[[#This Row],[120 Device]]="","",COUNTIF('120v Power'!$B$14:$EZ$50000,_120Dev[[#This Row],[120 Device]]))</f>
        <v>0</v>
      </c>
      <c r="S12" s="141"/>
      <c r="T12" s="82" t="s">
        <v>429</v>
      </c>
      <c r="U12" s="82">
        <v>18630</v>
      </c>
      <c r="V12" s="60">
        <f>IF(_24CblLgth[[#This Row],[24 Cable Length]]="","",COUNTIF('24v Power'!$B$14:$EZ$50000,_24CblLgth[[#This Row],[24 Cable Length]]))</f>
        <v>0</v>
      </c>
      <c r="W12" s="141"/>
      <c r="X12" s="82" t="s">
        <v>380</v>
      </c>
      <c r="Y12" s="82" t="s">
        <v>194</v>
      </c>
      <c r="Z12" s="60">
        <f>IF(_24Dev[[#This Row],[24 Device]]="","",COUNTIF('24v Power'!$B$14:$EZ$50000,_24Dev[[#This Row],[24 Device]]))</f>
        <v>1</v>
      </c>
      <c r="AA12" s="141"/>
      <c r="AB12" s="82" t="s">
        <v>478</v>
      </c>
      <c r="AC12" s="82">
        <v>18766</v>
      </c>
      <c r="AD12" s="60">
        <f>IF(_ENetCblLgth[[#This Row],[ENet Cable Length]]="","",COUNTIF(Ethernet!$C$14:$EZ$50000,_ENetCblLgth[[#This Row],[ENet Cable Length]]))</f>
        <v>0</v>
      </c>
      <c r="AE12" s="81"/>
      <c r="AF12" s="91" t="s">
        <v>457</v>
      </c>
      <c r="AG12" s="141"/>
      <c r="AH12" s="82" t="s">
        <v>426</v>
      </c>
      <c r="AI12" s="82">
        <v>18509</v>
      </c>
      <c r="AJ12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2" s="141"/>
      <c r="AL12" s="82" t="s">
        <v>614</v>
      </c>
      <c r="AM12" s="82">
        <v>21107</v>
      </c>
      <c r="AN12" s="60">
        <f>IF(_SafeIODev[[#This Row],[Safe IO Device]]="","",COUNTIF('Safety IO'!$C$12:$EZ$50000,_SafeIODev[[#This Row],[Safe IO Device]]))</f>
        <v>0</v>
      </c>
      <c r="AO12" s="141"/>
      <c r="AP12" s="82" t="s">
        <v>631</v>
      </c>
      <c r="AQ12" s="82">
        <v>1026519</v>
      </c>
      <c r="AR12" s="60">
        <f>IF(_IODev[[#This Row],[IO Device]]="","",COUNTIF('Standard IO'!$C$12:$EZ$49995,_IODev[[#This Row],[IO Device]]))</f>
        <v>0</v>
      </c>
    </row>
    <row r="13" spans="1:44" x14ac:dyDescent="0.3">
      <c r="A13" s="90" t="s">
        <v>317</v>
      </c>
      <c r="B13" s="82" t="s">
        <v>318</v>
      </c>
      <c r="C13" s="141"/>
      <c r="D13" s="82" t="s">
        <v>334</v>
      </c>
      <c r="E13" s="82">
        <v>75953</v>
      </c>
      <c r="F13" s="60">
        <f>IF(_480CblLgth[[#This Row],[480 Cable Length]]="","",COUNTIF('480v Power'!$D$14:$EZ$50000,_480CblLgth[[#This Row],[480 Cable Length]]))</f>
        <v>0</v>
      </c>
      <c r="G13" s="141"/>
      <c r="J13" s="60" t="str">
        <f>IF(_480Dev[[#This Row],[480 Device]]="","",COUNTIF('480v Power'!$D$14:$EZ$50000,_480Dev[[#This Row],[480 Device]]))</f>
        <v/>
      </c>
      <c r="K13" s="141"/>
      <c r="L13" s="82" t="s">
        <v>394</v>
      </c>
      <c r="M13" s="82">
        <v>18612</v>
      </c>
      <c r="N13" s="60">
        <f>IF(_120CblLgth[[#This Row],[120 Cable Length]]="","",COUNTIF('120v Power'!$B$14:$EZ$50000,_120CblLgth[[#This Row],[120 Cable Length]]))</f>
        <v>0</v>
      </c>
      <c r="O13" s="81"/>
      <c r="P13" s="82" t="s">
        <v>415</v>
      </c>
      <c r="Q13" s="82">
        <v>64166</v>
      </c>
      <c r="R13" s="60">
        <f>IF(_120Dev[[#This Row],[120 Device]]="","",COUNTIF('120v Power'!$B$14:$EZ$50000,_120Dev[[#This Row],[120 Device]]))</f>
        <v>1</v>
      </c>
      <c r="S13" s="141"/>
      <c r="T13" s="82" t="s">
        <v>430</v>
      </c>
      <c r="U13" s="82">
        <v>18631</v>
      </c>
      <c r="V13" s="60">
        <f>IF(_24CblLgth[[#This Row],[24 Cable Length]]="","",COUNTIF('24v Power'!$B$14:$EZ$50000,_24CblLgth[[#This Row],[24 Cable Length]]))</f>
        <v>0</v>
      </c>
      <c r="W13" s="141"/>
      <c r="X13" s="82" t="s">
        <v>448</v>
      </c>
      <c r="Y13" s="82">
        <v>21517</v>
      </c>
      <c r="Z13" s="60">
        <f>IF(_24Dev[[#This Row],[24 Device]]="","",COUNTIF('24v Power'!$B$14:$EZ$50000,_24Dev[[#This Row],[24 Device]]))</f>
        <v>0</v>
      </c>
      <c r="AA13" s="141"/>
      <c r="AB13" s="82" t="s">
        <v>479</v>
      </c>
      <c r="AC13" s="82">
        <v>18767</v>
      </c>
      <c r="AD13" s="60">
        <f>IF(_ENetCblLgth[[#This Row],[ENet Cable Length]]="","",COUNTIF(Ethernet!$C$14:$EZ$50000,_ENetCblLgth[[#This Row],[ENet Cable Length]]))</f>
        <v>0</v>
      </c>
      <c r="AE13" s="81"/>
      <c r="AF13" s="91" t="s">
        <v>565</v>
      </c>
      <c r="AG13" s="141"/>
      <c r="AH13" s="82" t="s">
        <v>573</v>
      </c>
      <c r="AI13" s="82">
        <v>18510</v>
      </c>
      <c r="AJ13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3" s="141"/>
      <c r="AL13" s="82" t="s">
        <v>615</v>
      </c>
      <c r="AM13" s="82" t="s">
        <v>616</v>
      </c>
      <c r="AN13" s="60">
        <f>IF(_SafeIODev[[#This Row],[Safe IO Device]]="","",COUNTIF('Safety IO'!$C$12:$EZ$50000,_SafeIODev[[#This Row],[Safe IO Device]]))</f>
        <v>0</v>
      </c>
      <c r="AO13" s="141"/>
      <c r="AR13" s="60" t="str">
        <f>IF(_IODev[[#This Row],[IO Device]]="","",COUNTIF('Standard IO'!$C$12:$EZ$49995,_IODev[[#This Row],[IO Device]]))</f>
        <v/>
      </c>
    </row>
    <row r="14" spans="1:44" x14ac:dyDescent="0.3">
      <c r="A14" s="90" t="s">
        <v>319</v>
      </c>
      <c r="B14" s="82" t="s">
        <v>320</v>
      </c>
      <c r="C14" s="141"/>
      <c r="D14" s="82" t="s">
        <v>335</v>
      </c>
      <c r="E14" s="82">
        <v>75953</v>
      </c>
      <c r="F14" s="60">
        <f>IF(_480CblLgth[[#This Row],[480 Cable Length]]="","",COUNTIF('480v Power'!$D$14:$EZ$50000,_480CblLgth[[#This Row],[480 Cable Length]]))</f>
        <v>0</v>
      </c>
      <c r="G14" s="141"/>
      <c r="J14" s="60" t="str">
        <f>IF(_480Dev[[#This Row],[480 Device]]="","",COUNTIF('480v Power'!$D$14:$EZ$50000,_480Dev[[#This Row],[480 Device]]))</f>
        <v/>
      </c>
      <c r="K14" s="141"/>
      <c r="L14" s="82" t="s">
        <v>395</v>
      </c>
      <c r="M14" s="82">
        <v>18613</v>
      </c>
      <c r="N14" s="60">
        <f>IF(_120CblLgth[[#This Row],[120 Cable Length]]="","",COUNTIF('120v Power'!$B$14:$EZ$50000,_120CblLgth[[#This Row],[120 Cable Length]]))</f>
        <v>0</v>
      </c>
      <c r="O14" s="81"/>
      <c r="P14" s="82" t="s">
        <v>416</v>
      </c>
      <c r="Q14" s="82" t="s">
        <v>317</v>
      </c>
      <c r="R14" s="60">
        <f>IF(_120Dev[[#This Row],[120 Device]]="","",COUNTIF('120v Power'!$B$14:$EZ$50000,_120Dev[[#This Row],[120 Device]]))</f>
        <v>0</v>
      </c>
      <c r="S14" s="141"/>
      <c r="T14" s="82" t="s">
        <v>431</v>
      </c>
      <c r="U14" s="82">
        <v>18632</v>
      </c>
      <c r="V14" s="60">
        <f>IF(_24CblLgth[[#This Row],[24 Cable Length]]="","",COUNTIF('24v Power'!$B$14:$EZ$50000,_24CblLgth[[#This Row],[24 Cable Length]]))</f>
        <v>0</v>
      </c>
      <c r="W14" s="141"/>
      <c r="X14" s="82" t="s">
        <v>449</v>
      </c>
      <c r="Y14" s="82">
        <v>21531</v>
      </c>
      <c r="Z14" s="60">
        <f>IF(_24Dev[[#This Row],[24 Device]]="","",COUNTIF('24v Power'!$B$14:$EZ$50000,_24Dev[[#This Row],[24 Device]]))</f>
        <v>0</v>
      </c>
      <c r="AA14" s="141"/>
      <c r="AB14" s="82" t="s">
        <v>480</v>
      </c>
      <c r="AC14" s="82">
        <v>18768</v>
      </c>
      <c r="AD14" s="60">
        <f>IF(_ENetCblLgth[[#This Row],[ENet Cable Length]]="","",COUNTIF(Ethernet!$C$14:$EZ$50000,_ENetCblLgth[[#This Row],[ENet Cable Length]]))</f>
        <v>0</v>
      </c>
      <c r="AE14" s="81"/>
      <c r="AF14" s="91" t="s">
        <v>460</v>
      </c>
      <c r="AG14" s="141"/>
      <c r="AH14" s="82" t="s">
        <v>574</v>
      </c>
      <c r="AI14" s="82">
        <v>18521</v>
      </c>
      <c r="AJ14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4" s="141"/>
      <c r="AL14" s="82" t="s">
        <v>617</v>
      </c>
      <c r="AM14" s="82" t="s">
        <v>618</v>
      </c>
      <c r="AN14" s="60">
        <f>IF(_SafeIODev[[#This Row],[Safe IO Device]]="","",COUNTIF('Safety IO'!$C$12:$EZ$50000,_SafeIODev[[#This Row],[Safe IO Device]]))</f>
        <v>0</v>
      </c>
      <c r="AO14" s="141"/>
      <c r="AR14" s="60" t="str">
        <f>IF(_IODev[[#This Row],[IO Device]]="","",COUNTIF('Standard IO'!$C$12:$EZ$49995,_IODev[[#This Row],[IO Device]]))</f>
        <v/>
      </c>
    </row>
    <row r="15" spans="1:44" x14ac:dyDescent="0.3">
      <c r="A15" s="90" t="s">
        <v>321</v>
      </c>
      <c r="B15" s="82" t="s">
        <v>322</v>
      </c>
      <c r="C15" s="141"/>
      <c r="D15" s="82" t="s">
        <v>336</v>
      </c>
      <c r="E15" s="82">
        <v>75953</v>
      </c>
      <c r="F15" s="60">
        <f>IF(_480CblLgth[[#This Row],[480 Cable Length]]="","",COUNTIF('480v Power'!$D$14:$EZ$50000,_480CblLgth[[#This Row],[480 Cable Length]]))</f>
        <v>0</v>
      </c>
      <c r="G15" s="141"/>
      <c r="J15" s="60" t="str">
        <f>IF(_480Dev[[#This Row],[480 Device]]="","",COUNTIF('480v Power'!$D$14:$EZ$50000,_480Dev[[#This Row],[480 Device]]))</f>
        <v/>
      </c>
      <c r="K15" s="141"/>
      <c r="L15" s="82" t="s">
        <v>396</v>
      </c>
      <c r="M15" s="82">
        <v>18614</v>
      </c>
      <c r="N15" s="60">
        <f>IF(_120CblLgth[[#This Row],[120 Cable Length]]="","",COUNTIF('120v Power'!$B$14:$EZ$50000,_120CblLgth[[#This Row],[120 Cable Length]]))</f>
        <v>0</v>
      </c>
      <c r="O15" s="81"/>
      <c r="P15" s="82" t="s">
        <v>417</v>
      </c>
      <c r="Q15" s="82" t="s">
        <v>418</v>
      </c>
      <c r="R15" s="60">
        <f>IF(_120Dev[[#This Row],[120 Device]]="","",COUNTIF('120v Power'!$B$14:$EZ$50000,_120Dev[[#This Row],[120 Device]]))</f>
        <v>0</v>
      </c>
      <c r="S15" s="141"/>
      <c r="T15" s="82" t="s">
        <v>432</v>
      </c>
      <c r="U15" s="82">
        <v>18633</v>
      </c>
      <c r="V15" s="60">
        <f>IF(_24CblLgth[[#This Row],[24 Cable Length]]="","",COUNTIF('24v Power'!$B$14:$EZ$50000,_24CblLgth[[#This Row],[24 Cable Length]]))</f>
        <v>0</v>
      </c>
      <c r="W15" s="141"/>
      <c r="X15" s="82" t="s">
        <v>450</v>
      </c>
      <c r="Y15" s="82">
        <v>21538</v>
      </c>
      <c r="Z15" s="60">
        <f>IF(_24Dev[[#This Row],[24 Device]]="","",COUNTIF('24v Power'!$B$14:$EZ$50000,_24Dev[[#This Row],[24 Device]]))</f>
        <v>0</v>
      </c>
      <c r="AA15" s="141"/>
      <c r="AB15" s="82" t="s">
        <v>481</v>
      </c>
      <c r="AC15" s="82">
        <v>18769</v>
      </c>
      <c r="AD15" s="60">
        <f>IF(_ENetCblLgth[[#This Row],[ENet Cable Length]]="","",COUNTIF(Ethernet!$C$14:$EZ$50000,_ENetCblLgth[[#This Row],[ENet Cable Length]]))</f>
        <v>0</v>
      </c>
      <c r="AE15" s="81"/>
      <c r="AF15" s="91" t="s">
        <v>461</v>
      </c>
      <c r="AG15" s="141"/>
      <c r="AH15" s="82" t="s">
        <v>575</v>
      </c>
      <c r="AI15" s="82">
        <v>18522</v>
      </c>
      <c r="AJ15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5" s="141"/>
      <c r="AL15" s="82" t="s">
        <v>619</v>
      </c>
      <c r="AM15" s="82" t="s">
        <v>620</v>
      </c>
      <c r="AN15" s="60">
        <f>IF(_SafeIODev[[#This Row],[Safe IO Device]]="","",COUNTIF('Safety IO'!$C$12:$EZ$50000,_SafeIODev[[#This Row],[Safe IO Device]]))</f>
        <v>0</v>
      </c>
      <c r="AO15" s="141"/>
      <c r="AR15" s="60" t="str">
        <f>IF(_IODev[[#This Row],[IO Device]]="","",COUNTIF('Standard IO'!$C$12:$EZ$49995,_IODev[[#This Row],[IO Device]]))</f>
        <v/>
      </c>
    </row>
    <row r="16" spans="1:44" x14ac:dyDescent="0.3">
      <c r="A16" s="90" t="s">
        <v>323</v>
      </c>
      <c r="B16" s="82" t="s">
        <v>322</v>
      </c>
      <c r="C16" s="141"/>
      <c r="D16" s="82" t="s">
        <v>337</v>
      </c>
      <c r="E16" s="82">
        <v>75953</v>
      </c>
      <c r="F16" s="60">
        <f>IF(_480CblLgth[[#This Row],[480 Cable Length]]="","",COUNTIF('480v Power'!$D$14:$EZ$50000,_480CblLgth[[#This Row],[480 Cable Length]]))</f>
        <v>0</v>
      </c>
      <c r="G16" s="141"/>
      <c r="J16" s="60" t="str">
        <f>IF(_480Dev[[#This Row],[480 Device]]="","",COUNTIF('480v Power'!$D$14:$EZ$50000,_480Dev[[#This Row],[480 Device]]))</f>
        <v/>
      </c>
      <c r="K16" s="141"/>
      <c r="L16" s="82" t="s">
        <v>397</v>
      </c>
      <c r="M16" s="82">
        <v>18615</v>
      </c>
      <c r="N16" s="60">
        <f>IF(_120CblLgth[[#This Row],[120 Cable Length]]="","",COUNTIF('120v Power'!$B$14:$EZ$50000,_120CblLgth[[#This Row],[120 Cable Length]]))</f>
        <v>0</v>
      </c>
      <c r="O16" s="81"/>
      <c r="P16" s="82" t="s">
        <v>419</v>
      </c>
      <c r="Q16" s="82" t="s">
        <v>193</v>
      </c>
      <c r="R16" s="60">
        <f>IF(_120Dev[[#This Row],[120 Device]]="","",COUNTIF('120v Power'!$B$14:$EZ$50000,_120Dev[[#This Row],[120 Device]]))</f>
        <v>0</v>
      </c>
      <c r="S16" s="141"/>
      <c r="T16" s="82" t="s">
        <v>433</v>
      </c>
      <c r="U16" s="82">
        <v>18634</v>
      </c>
      <c r="V16" s="60">
        <f>IF(_24CblLgth[[#This Row],[24 Cable Length]]="","",COUNTIF('24v Power'!$B$14:$EZ$50000,_24CblLgth[[#This Row],[24 Cable Length]]))</f>
        <v>0</v>
      </c>
      <c r="W16" s="141"/>
      <c r="X16" s="82" t="s">
        <v>451</v>
      </c>
      <c r="Y16" s="82">
        <v>21539</v>
      </c>
      <c r="Z16" s="60">
        <f>IF(_24Dev[[#This Row],[24 Device]]="","",COUNTIF('24v Power'!$B$14:$EZ$50000,_24Dev[[#This Row],[24 Device]]))</f>
        <v>0</v>
      </c>
      <c r="AA16" s="141"/>
      <c r="AB16" s="82" t="s">
        <v>482</v>
      </c>
      <c r="AC16" s="82">
        <v>18770</v>
      </c>
      <c r="AD16" s="60">
        <f>IF(_ENetCblLgth[[#This Row],[ENet Cable Length]]="","",COUNTIF(Ethernet!$C$14:$EZ$50000,_ENetCblLgth[[#This Row],[ENet Cable Length]]))</f>
        <v>0</v>
      </c>
      <c r="AE16" s="81"/>
      <c r="AF16" s="91" t="s">
        <v>462</v>
      </c>
      <c r="AG16" s="141"/>
      <c r="AH16" s="82" t="s">
        <v>576</v>
      </c>
      <c r="AI16" s="82">
        <v>18523</v>
      </c>
      <c r="AJ16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6" s="141"/>
      <c r="AL16" s="82" t="s">
        <v>621</v>
      </c>
      <c r="AM16" s="82" t="s">
        <v>622</v>
      </c>
      <c r="AN16" s="60">
        <f>IF(_SafeIODev[[#This Row],[Safe IO Device]]="","",COUNTIF('Safety IO'!$C$12:$EZ$50000,_SafeIODev[[#This Row],[Safe IO Device]]))</f>
        <v>0</v>
      </c>
      <c r="AO16" s="141"/>
      <c r="AR16" s="60" t="str">
        <f>IF(_IODev[[#This Row],[IO Device]]="","",COUNTIF('Standard IO'!$C$12:$EZ$49995,_IODev[[#This Row],[IO Device]]))</f>
        <v/>
      </c>
    </row>
    <row r="17" spans="1:44" x14ac:dyDescent="0.3">
      <c r="A17" s="90"/>
      <c r="C17" s="141"/>
      <c r="D17" s="82" t="s">
        <v>338</v>
      </c>
      <c r="E17" s="82">
        <v>75953</v>
      </c>
      <c r="F17" s="60">
        <f>IF(_480CblLgth[[#This Row],[480 Cable Length]]="","",COUNTIF('480v Power'!$D$14:$EZ$50000,_480CblLgth[[#This Row],[480 Cable Length]]))</f>
        <v>0</v>
      </c>
      <c r="G17" s="141"/>
      <c r="J17" s="60" t="str">
        <f>IF(_480Dev[[#This Row],[480 Device]]="","",COUNTIF('480v Power'!$D$14:$EZ$50000,_480Dev[[#This Row],[480 Device]]))</f>
        <v/>
      </c>
      <c r="K17" s="141"/>
      <c r="L17" s="82" t="s">
        <v>398</v>
      </c>
      <c r="M17" s="82">
        <v>18616</v>
      </c>
      <c r="N17" s="60">
        <f>IF(_120CblLgth[[#This Row],[120 Cable Length]]="","",COUNTIF('120v Power'!$B$14:$EZ$50000,_120CblLgth[[#This Row],[120 Cable Length]]))</f>
        <v>0</v>
      </c>
      <c r="O17" s="81"/>
      <c r="R17" s="60" t="str">
        <f>IF(_120Dev[[#This Row],[120 Device]]="","",COUNTIF('120v Power'!$B$14:$EZ$50000,_120Dev[[#This Row],[120 Device]]))</f>
        <v/>
      </c>
      <c r="S17" s="141"/>
      <c r="T17" s="82" t="s">
        <v>434</v>
      </c>
      <c r="U17" s="82">
        <v>18635</v>
      </c>
      <c r="V17" s="60">
        <f>IF(_24CblLgth[[#This Row],[24 Cable Length]]="","",COUNTIF('24v Power'!$B$14:$EZ$50000,_24CblLgth[[#This Row],[24 Cable Length]]))</f>
        <v>0</v>
      </c>
      <c r="W17" s="141"/>
      <c r="X17" s="82" t="s">
        <v>452</v>
      </c>
      <c r="Y17" s="82">
        <v>21578</v>
      </c>
      <c r="Z17" s="60">
        <f>IF(_24Dev[[#This Row],[24 Device]]="","",COUNTIF('24v Power'!$B$14:$EZ$50000,_24Dev[[#This Row],[24 Device]]))</f>
        <v>0</v>
      </c>
      <c r="AA17" s="141"/>
      <c r="AB17" s="82" t="s">
        <v>483</v>
      </c>
      <c r="AC17" s="82">
        <v>18771</v>
      </c>
      <c r="AD17" s="60">
        <f>IF(_ENetCblLgth[[#This Row],[ENet Cable Length]]="","",COUNTIF(Ethernet!$C$14:$EZ$50000,_ENetCblLgth[[#This Row],[ENet Cable Length]]))</f>
        <v>0</v>
      </c>
      <c r="AE17" s="81"/>
      <c r="AF17" s="91" t="s">
        <v>463</v>
      </c>
      <c r="AG17" s="141"/>
      <c r="AH17" s="82" t="s">
        <v>577</v>
      </c>
      <c r="AI17" s="82">
        <v>18524</v>
      </c>
      <c r="AJ17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7" s="141"/>
      <c r="AL17" s="82" t="s">
        <v>623</v>
      </c>
      <c r="AM17" s="82" t="s">
        <v>624</v>
      </c>
      <c r="AN17" s="60">
        <f>IF(_SafeIODev[[#This Row],[Safe IO Device]]="","",COUNTIF('Safety IO'!$C$12:$EZ$50000,_SafeIODev[[#This Row],[Safe IO Device]]))</f>
        <v>0</v>
      </c>
      <c r="AO17" s="141"/>
      <c r="AR17" s="60" t="str">
        <f>IF(_IODev[[#This Row],[IO Device]]="","",COUNTIF('Standard IO'!$C$12:$EZ$49995,_IODev[[#This Row],[IO Device]]))</f>
        <v/>
      </c>
    </row>
    <row r="18" spans="1:44" x14ac:dyDescent="0.3">
      <c r="A18" s="90"/>
      <c r="C18" s="141"/>
      <c r="D18" s="82" t="s">
        <v>339</v>
      </c>
      <c r="E18" s="82">
        <v>75953</v>
      </c>
      <c r="F18" s="60">
        <f>IF(_480CblLgth[[#This Row],[480 Cable Length]]="","",COUNTIF('480v Power'!$D$14:$EZ$50000,_480CblLgth[[#This Row],[480 Cable Length]]))</f>
        <v>0</v>
      </c>
      <c r="G18" s="141"/>
      <c r="J18" s="60" t="str">
        <f>IF(_480Dev[[#This Row],[480 Device]]="","",COUNTIF('480v Power'!$D$14:$EZ$50000,_480Dev[[#This Row],[480 Device]]))</f>
        <v/>
      </c>
      <c r="K18" s="141"/>
      <c r="L18" s="82" t="s">
        <v>399</v>
      </c>
      <c r="M18" s="82">
        <v>18617</v>
      </c>
      <c r="N18" s="60">
        <f>IF(_120CblLgth[[#This Row],[120 Cable Length]]="","",COUNTIF('120v Power'!$B$14:$EZ$50000,_120CblLgth[[#This Row],[120 Cable Length]]))</f>
        <v>0</v>
      </c>
      <c r="O18" s="81"/>
      <c r="R18" s="60" t="str">
        <f>IF(_120Dev[[#This Row],[120 Device]]="","",COUNTIF('120v Power'!$B$14:$EZ$50000,_120Dev[[#This Row],[120 Device]]))</f>
        <v/>
      </c>
      <c r="S18" s="141"/>
      <c r="T18" s="82" t="s">
        <v>435</v>
      </c>
      <c r="U18" s="82">
        <v>18636</v>
      </c>
      <c r="V18" s="60">
        <f>IF(_24CblLgth[[#This Row],[24 Cable Length]]="","",COUNTIF('24v Power'!$B$14:$EZ$50000,_24CblLgth[[#This Row],[24 Cable Length]]))</f>
        <v>0</v>
      </c>
      <c r="W18" s="141"/>
      <c r="X18" s="82" t="s">
        <v>453</v>
      </c>
      <c r="Y18" s="82">
        <v>20015</v>
      </c>
      <c r="Z18" s="60">
        <f>IF(_24Dev[[#This Row],[24 Device]]="","",COUNTIF('24v Power'!$B$14:$EZ$50000,_24Dev[[#This Row],[24 Device]]))</f>
        <v>0</v>
      </c>
      <c r="AA18" s="141"/>
      <c r="AB18" s="82" t="s">
        <v>484</v>
      </c>
      <c r="AC18" s="82">
        <v>18772</v>
      </c>
      <c r="AD18" s="60">
        <f>IF(_ENetCblLgth[[#This Row],[ENet Cable Length]]="","",COUNTIF(Ethernet!$C$14:$EZ$50000,_ENetCblLgth[[#This Row],[ENet Cable Length]]))</f>
        <v>0</v>
      </c>
      <c r="AE18" s="81"/>
      <c r="AF18" s="91" t="s">
        <v>566</v>
      </c>
      <c r="AG18" s="141"/>
      <c r="AH18" s="82" t="s">
        <v>578</v>
      </c>
      <c r="AI18" s="82">
        <v>18525</v>
      </c>
      <c r="AJ18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8" s="141"/>
      <c r="AL18" s="82" t="s">
        <v>625</v>
      </c>
      <c r="AM18" s="82" t="s">
        <v>626</v>
      </c>
      <c r="AN18" s="60">
        <f>IF(_SafeIODev[[#This Row],[Safe IO Device]]="","",COUNTIF('Safety IO'!$C$12:$EZ$50000,_SafeIODev[[#This Row],[Safe IO Device]]))</f>
        <v>0</v>
      </c>
      <c r="AO18" s="141"/>
      <c r="AR18" s="60" t="str">
        <f>IF(_IODev[[#This Row],[IO Device]]="","",COUNTIF('Standard IO'!$C$12:$EZ$49995,_IODev[[#This Row],[IO Device]]))</f>
        <v/>
      </c>
    </row>
    <row r="19" spans="1:44" x14ac:dyDescent="0.3">
      <c r="A19" s="90"/>
      <c r="C19" s="141"/>
      <c r="D19" s="82" t="s">
        <v>340</v>
      </c>
      <c r="E19" s="82">
        <v>75953</v>
      </c>
      <c r="F19" s="60">
        <f>IF(_480CblLgth[[#This Row],[480 Cable Length]]="","",COUNTIF('480v Power'!$D$14:$EZ$50000,_480CblLgth[[#This Row],[480 Cable Length]]))</f>
        <v>0</v>
      </c>
      <c r="G19" s="141"/>
      <c r="J19" s="60" t="str">
        <f>IF(_480Dev[[#This Row],[480 Device]]="","",COUNTIF('480v Power'!$D$14:$EZ$50000,_480Dev[[#This Row],[480 Device]]))</f>
        <v/>
      </c>
      <c r="K19" s="141"/>
      <c r="L19" s="82" t="s">
        <v>400</v>
      </c>
      <c r="M19" s="82">
        <v>18618</v>
      </c>
      <c r="N19" s="60">
        <f>IF(_120CblLgth[[#This Row],[120 Cable Length]]="","",COUNTIF('120v Power'!$B$14:$EZ$50000,_120CblLgth[[#This Row],[120 Cable Length]]))</f>
        <v>0</v>
      </c>
      <c r="O19" s="81"/>
      <c r="R19" s="60" t="str">
        <f>IF(_120Dev[[#This Row],[120 Device]]="","",COUNTIF('120v Power'!$B$14:$EZ$50000,_120Dev[[#This Row],[120 Device]]))</f>
        <v/>
      </c>
      <c r="S19" s="141"/>
      <c r="T19" s="82" t="s">
        <v>436</v>
      </c>
      <c r="U19" s="82">
        <v>18637</v>
      </c>
      <c r="V19" s="60">
        <f>IF(_24CblLgth[[#This Row],[24 Cable Length]]="","",COUNTIF('24v Power'!$B$14:$EZ$50000,_24CblLgth[[#This Row],[24 Cable Length]]))</f>
        <v>0</v>
      </c>
      <c r="W19" s="141"/>
      <c r="X19" s="82" t="s">
        <v>454</v>
      </c>
      <c r="Y19" s="82">
        <v>20016</v>
      </c>
      <c r="Z19" s="60">
        <f>IF(_24Dev[[#This Row],[24 Device]]="","",COUNTIF('24v Power'!$B$14:$EZ$50000,_24Dev[[#This Row],[24 Device]]))</f>
        <v>0</v>
      </c>
      <c r="AA19" s="141"/>
      <c r="AB19" s="82" t="s">
        <v>485</v>
      </c>
      <c r="AC19" s="82">
        <v>18773</v>
      </c>
      <c r="AD19" s="60">
        <f>IF(_ENetCblLgth[[#This Row],[ENet Cable Length]]="","",COUNTIF(Ethernet!$C$14:$EZ$50000,_ENetCblLgth[[#This Row],[ENet Cable Length]]))</f>
        <v>0</v>
      </c>
      <c r="AE19" s="81"/>
      <c r="AF19" s="91" t="s">
        <v>465</v>
      </c>
      <c r="AG19" s="141"/>
      <c r="AH19" s="82" t="s">
        <v>579</v>
      </c>
      <c r="AI19" s="82">
        <v>18526</v>
      </c>
      <c r="AJ19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19" s="141"/>
      <c r="AL19" s="82" t="s">
        <v>627</v>
      </c>
      <c r="AM19" s="82" t="s">
        <v>628</v>
      </c>
      <c r="AN19" s="60">
        <f>IF(_SafeIODev[[#This Row],[Safe IO Device]]="","",COUNTIF('Safety IO'!$C$12:$EZ$50000,_SafeIODev[[#This Row],[Safe IO Device]]))</f>
        <v>0</v>
      </c>
      <c r="AO19" s="141"/>
      <c r="AR19" s="60" t="str">
        <f>IF(_IODev[[#This Row],[IO Device]]="","",COUNTIF('Standard IO'!$C$12:$EZ$49995,_IODev[[#This Row],[IO Device]]))</f>
        <v/>
      </c>
    </row>
    <row r="20" spans="1:44" x14ac:dyDescent="0.3">
      <c r="A20" s="90"/>
      <c r="C20" s="141"/>
      <c r="D20" s="82" t="s">
        <v>341</v>
      </c>
      <c r="E20" s="82">
        <v>75953</v>
      </c>
      <c r="F20" s="60">
        <f>IF(_480CblLgth[[#This Row],[480 Cable Length]]="","",COUNTIF('480v Power'!$D$14:$EZ$50000,_480CblLgth[[#This Row],[480 Cable Length]]))</f>
        <v>0</v>
      </c>
      <c r="G20" s="141"/>
      <c r="J20" s="60" t="str">
        <f>IF(_480Dev[[#This Row],[480 Device]]="","",COUNTIF('480v Power'!$D$14:$EZ$50000,_480Dev[[#This Row],[480 Device]]))</f>
        <v/>
      </c>
      <c r="K20" s="141"/>
      <c r="L20" s="82" t="s">
        <v>401</v>
      </c>
      <c r="M20" s="82">
        <v>18619</v>
      </c>
      <c r="N20" s="60">
        <f>IF(_120CblLgth[[#This Row],[120 Cable Length]]="","",COUNTIF('120v Power'!$B$14:$EZ$50000,_120CblLgth[[#This Row],[120 Cable Length]]))</f>
        <v>0</v>
      </c>
      <c r="O20" s="81"/>
      <c r="R20" s="60" t="str">
        <f>IF(_120Dev[[#This Row],[120 Device]]="","",COUNTIF('120v Power'!$B$14:$EZ$50000,_120Dev[[#This Row],[120 Device]]))</f>
        <v/>
      </c>
      <c r="S20" s="141"/>
      <c r="T20" s="82" t="s">
        <v>437</v>
      </c>
      <c r="U20" s="82">
        <v>18638</v>
      </c>
      <c r="V20" s="60">
        <f>IF(_24CblLgth[[#This Row],[24 Cable Length]]="","",COUNTIF('24v Power'!$B$14:$EZ$50000,_24CblLgth[[#This Row],[24 Cable Length]]))</f>
        <v>0</v>
      </c>
      <c r="W20" s="141"/>
      <c r="X20" s="82" t="s">
        <v>455</v>
      </c>
      <c r="Y20" s="82">
        <v>20017</v>
      </c>
      <c r="Z20" s="60">
        <f>IF(_24Dev[[#This Row],[24 Device]]="","",COUNTIF('24v Power'!$B$14:$EZ$50000,_24Dev[[#This Row],[24 Device]]))</f>
        <v>0</v>
      </c>
      <c r="AA20" s="141"/>
      <c r="AB20" s="82" t="s">
        <v>486</v>
      </c>
      <c r="AC20" s="82">
        <v>18774</v>
      </c>
      <c r="AD20" s="60">
        <f>IF(_ENetCblLgth[[#This Row],[ENet Cable Length]]="","",COUNTIF(Ethernet!$C$14:$EZ$50000,_ENetCblLgth[[#This Row],[ENet Cable Length]]))</f>
        <v>0</v>
      </c>
      <c r="AE20" s="81"/>
      <c r="AF20" s="91" t="s">
        <v>466</v>
      </c>
      <c r="AG20" s="141"/>
      <c r="AH20" s="82" t="s">
        <v>580</v>
      </c>
      <c r="AI20" s="82">
        <v>18527</v>
      </c>
      <c r="AJ20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0" s="141"/>
      <c r="AL20" s="82" t="s">
        <v>629</v>
      </c>
      <c r="AM20" s="82" t="s">
        <v>630</v>
      </c>
      <c r="AN20" s="60">
        <f>IF(_SafeIODev[[#This Row],[Safe IO Device]]="","",COUNTIF('Safety IO'!$C$12:$EZ$50000,_SafeIODev[[#This Row],[Safe IO Device]]))</f>
        <v>0</v>
      </c>
      <c r="AO20" s="141"/>
      <c r="AR20" s="60" t="str">
        <f>IF(_IODev[[#This Row],[IO Device]]="","",COUNTIF('Standard IO'!$C$12:$EZ$49995,_IODev[[#This Row],[IO Device]]))</f>
        <v/>
      </c>
    </row>
    <row r="21" spans="1:44" x14ac:dyDescent="0.3">
      <c r="A21" s="90"/>
      <c r="C21" s="141"/>
      <c r="D21" s="82" t="s">
        <v>342</v>
      </c>
      <c r="E21" s="82">
        <v>75953</v>
      </c>
      <c r="F21" s="60">
        <f>IF(_480CblLgth[[#This Row],[480 Cable Length]]="","",COUNTIF('480v Power'!$D$14:$EZ$50000,_480CblLgth[[#This Row],[480 Cable Length]]))</f>
        <v>0</v>
      </c>
      <c r="G21" s="141"/>
      <c r="J21" s="60" t="str">
        <f>IF(_480Dev[[#This Row],[480 Device]]="","",COUNTIF('480v Power'!$D$14:$EZ$50000,_480Dev[[#This Row],[480 Device]]))</f>
        <v/>
      </c>
      <c r="K21" s="141"/>
      <c r="N21" s="60" t="str">
        <f>IF(_120CblLgth[[#This Row],[120 Cable Length]]="","",COUNTIF('120v Power'!$B$14:$EZ$50000,_120CblLgth[[#This Row],[120 Cable Length]]))</f>
        <v/>
      </c>
      <c r="O21" s="81"/>
      <c r="R21" s="60" t="str">
        <f>IF(_120Dev[[#This Row],[120 Device]]="","",COUNTIF('120v Power'!$B$14:$EZ$50000,_120Dev[[#This Row],[120 Device]]))</f>
        <v/>
      </c>
      <c r="S21" s="141"/>
      <c r="T21" s="82" t="s">
        <v>438</v>
      </c>
      <c r="U21" s="82">
        <v>18639</v>
      </c>
      <c r="V21" s="60">
        <f>IF(_24CblLgth[[#This Row],[24 Cable Length]]="","",COUNTIF('24v Power'!$B$14:$EZ$50000,_24CblLgth[[#This Row],[24 Cable Length]]))</f>
        <v>0</v>
      </c>
      <c r="W21" s="141"/>
      <c r="X21" s="82" t="s">
        <v>456</v>
      </c>
      <c r="Y21" s="82">
        <v>20018</v>
      </c>
      <c r="Z21" s="60">
        <f>IF(_24Dev[[#This Row],[24 Device]]="","",COUNTIF('24v Power'!$B$14:$EZ$50000,_24Dev[[#This Row],[24 Device]]))</f>
        <v>0</v>
      </c>
      <c r="AA21" s="141"/>
      <c r="AB21" s="82" t="s">
        <v>487</v>
      </c>
      <c r="AC21" s="82">
        <v>18775</v>
      </c>
      <c r="AD21" s="60">
        <f>IF(_ENetCblLgth[[#This Row],[ENet Cable Length]]="","",COUNTIF(Ethernet!$C$14:$EZ$50000,_ENetCblLgth[[#This Row],[ENet Cable Length]]))</f>
        <v>0</v>
      </c>
      <c r="AE21" s="81"/>
      <c r="AF21" s="91" t="s">
        <v>467</v>
      </c>
      <c r="AG21" s="141"/>
      <c r="AH21" s="82" t="s">
        <v>581</v>
      </c>
      <c r="AI21" s="82">
        <v>18528</v>
      </c>
      <c r="AJ21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1" s="141"/>
      <c r="AL21" s="82" t="s">
        <v>631</v>
      </c>
      <c r="AM21" s="82">
        <v>1026519</v>
      </c>
      <c r="AN21" s="60">
        <f>IF(_SafeIODev[[#This Row],[Safe IO Device]]="","",COUNTIF('Safety IO'!$C$12:$EZ$50000,_SafeIODev[[#This Row],[Safe IO Device]]))</f>
        <v>0</v>
      </c>
      <c r="AO21" s="141"/>
      <c r="AR21" s="60" t="str">
        <f>IF(_IODev[[#This Row],[IO Device]]="","",COUNTIF('Standard IO'!$C$12:$EZ$49995,_IODev[[#This Row],[IO Device]]))</f>
        <v/>
      </c>
    </row>
    <row r="22" spans="1:44" x14ac:dyDescent="0.3">
      <c r="A22" s="90"/>
      <c r="C22" s="141"/>
      <c r="D22" s="82" t="s">
        <v>343</v>
      </c>
      <c r="E22" s="82">
        <v>75953</v>
      </c>
      <c r="F22" s="60">
        <f>IF(_480CblLgth[[#This Row],[480 Cable Length]]="","",COUNTIF('480v Power'!$D$14:$EZ$50000,_480CblLgth[[#This Row],[480 Cable Length]]))</f>
        <v>0</v>
      </c>
      <c r="G22" s="141"/>
      <c r="J22" s="60" t="str">
        <f>IF(_480Dev[[#This Row],[480 Device]]="","",COUNTIF('480v Power'!$D$14:$EZ$50000,_480Dev[[#This Row],[480 Device]]))</f>
        <v/>
      </c>
      <c r="K22" s="141"/>
      <c r="N22" s="60" t="str">
        <f>IF(_120CblLgth[[#This Row],[120 Cable Length]]="","",COUNTIF('120v Power'!$B$14:$EZ$50000,_120CblLgth[[#This Row],[120 Cable Length]]))</f>
        <v/>
      </c>
      <c r="O22" s="81"/>
      <c r="R22" s="60" t="str">
        <f>IF(_120Dev[[#This Row],[120 Device]]="","",COUNTIF('120v Power'!$B$14:$EZ$50000,_120Dev[[#This Row],[120 Device]]))</f>
        <v/>
      </c>
      <c r="S22" s="141"/>
      <c r="T22" s="82" t="s">
        <v>439</v>
      </c>
      <c r="U22" s="82">
        <v>18539</v>
      </c>
      <c r="V22" s="60">
        <f>IF(_24CblLgth[[#This Row],[24 Cable Length]]="","",COUNTIF('24v Power'!$B$14:$EZ$50000,_24CblLgth[[#This Row],[24 Cable Length]]))</f>
        <v>0</v>
      </c>
      <c r="W22" s="141"/>
      <c r="X22" s="82" t="s">
        <v>457</v>
      </c>
      <c r="Y22" s="82" t="s">
        <v>458</v>
      </c>
      <c r="Z22" s="60">
        <f>IF(_24Dev[[#This Row],[24 Device]]="","",COUNTIF('24v Power'!$B$14:$EZ$50000,_24Dev[[#This Row],[24 Device]]))</f>
        <v>0</v>
      </c>
      <c r="AA22" s="141"/>
      <c r="AB22" s="82" t="s">
        <v>488</v>
      </c>
      <c r="AC22" s="82">
        <v>18776</v>
      </c>
      <c r="AD22" s="60">
        <f>IF(_ENetCblLgth[[#This Row],[ENet Cable Length]]="","",COUNTIF(Ethernet!$C$14:$EZ$50000,_ENetCblLgth[[#This Row],[ENet Cable Length]]))</f>
        <v>0</v>
      </c>
      <c r="AE22" s="81"/>
      <c r="AF22" s="91" t="s">
        <v>468</v>
      </c>
      <c r="AG22" s="141"/>
      <c r="AH22" s="82" t="s">
        <v>582</v>
      </c>
      <c r="AI22" s="82">
        <v>18529</v>
      </c>
      <c r="AJ22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2" s="141"/>
      <c r="AL22" s="82" t="s">
        <v>670</v>
      </c>
      <c r="AM22" s="82">
        <v>1116164</v>
      </c>
      <c r="AN22" s="60">
        <f>IF(_SafeIODev[[#This Row],[Safe IO Device]]="","",COUNTIF('Safety IO'!$C$12:$EZ$50000,_SafeIODev[[#This Row],[Safe IO Device]]))</f>
        <v>2</v>
      </c>
      <c r="AO22" s="141"/>
      <c r="AR22" s="60" t="str">
        <f>IF(_IODev[[#This Row],[IO Device]]="","",COUNTIF('Standard IO'!$C$12:$EZ$49995,_IODev[[#This Row],[IO Device]]))</f>
        <v/>
      </c>
    </row>
    <row r="23" spans="1:44" x14ac:dyDescent="0.3">
      <c r="A23" s="90"/>
      <c r="C23" s="141"/>
      <c r="D23" s="82" t="s">
        <v>344</v>
      </c>
      <c r="E23" s="82">
        <v>75953</v>
      </c>
      <c r="F23" s="60">
        <f>IF(_480CblLgth[[#This Row],[480 Cable Length]]="","",COUNTIF('480v Power'!$D$14:$EZ$50000,_480CblLgth[[#This Row],[480 Cable Length]]))</f>
        <v>0</v>
      </c>
      <c r="G23" s="141"/>
      <c r="J23" s="60" t="str">
        <f>IF(_480Dev[[#This Row],[480 Device]]="","",COUNTIF('480v Power'!$D$14:$EZ$50000,_480Dev[[#This Row],[480 Device]]))</f>
        <v/>
      </c>
      <c r="K23" s="141"/>
      <c r="N23" s="60" t="str">
        <f>IF(_120CblLgth[[#This Row],[120 Cable Length]]="","",COUNTIF('120v Power'!$B$14:$EZ$50000,_120CblLgth[[#This Row],[120 Cable Length]]))</f>
        <v/>
      </c>
      <c r="O23" s="81"/>
      <c r="R23" s="60" t="str">
        <f>IF(_120Dev[[#This Row],[120 Device]]="","",COUNTIF('120v Power'!$B$14:$EZ$50000,_120Dev[[#This Row],[120 Device]]))</f>
        <v/>
      </c>
      <c r="S23" s="141"/>
      <c r="V23" s="60" t="str">
        <f>IF(_24CblLgth[[#This Row],[24 Cable Length]]="","",COUNTIF('24v Power'!$B$14:$EZ$50000,_24CblLgth[[#This Row],[24 Cable Length]]))</f>
        <v/>
      </c>
      <c r="W23" s="141"/>
      <c r="X23" s="82" t="s">
        <v>459</v>
      </c>
      <c r="Y23" s="82">
        <v>14113</v>
      </c>
      <c r="Z23" s="60">
        <f>IF(_24Dev[[#This Row],[24 Device]]="","",COUNTIF('24v Power'!$B$14:$EZ$50000,_24Dev[[#This Row],[24 Device]]))</f>
        <v>0</v>
      </c>
      <c r="AA23" s="141"/>
      <c r="AB23" s="82" t="s">
        <v>489</v>
      </c>
      <c r="AC23" s="82">
        <v>18777</v>
      </c>
      <c r="AD23" s="60">
        <f>IF(_ENetCblLgth[[#This Row],[ENet Cable Length]]="","",COUNTIF(Ethernet!$C$14:$EZ$50000,_ENetCblLgth[[#This Row],[ENet Cable Length]]))</f>
        <v>0</v>
      </c>
      <c r="AE23" s="81"/>
      <c r="AF23" s="91" t="s">
        <v>415</v>
      </c>
      <c r="AG23" s="141"/>
      <c r="AH23" s="82" t="s">
        <v>583</v>
      </c>
      <c r="AI23" s="82">
        <v>18531</v>
      </c>
      <c r="AJ23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3" s="141"/>
      <c r="AN23" s="60" t="str">
        <f>IF(_SafeIODev[[#This Row],[Safe IO Device]]="","",COUNTIF('Safety IO'!$C$12:$EZ$50000,_SafeIODev[[#This Row],[Safe IO Device]]))</f>
        <v/>
      </c>
      <c r="AO23" s="141"/>
      <c r="AR23" s="60" t="str">
        <f>IF(_IODev[[#This Row],[IO Device]]="","",COUNTIF('Standard IO'!$C$12:$EZ$49995,_IODev[[#This Row],[IO Device]]))</f>
        <v/>
      </c>
    </row>
    <row r="24" spans="1:44" x14ac:dyDescent="0.3">
      <c r="A24" s="90"/>
      <c r="C24" s="141"/>
      <c r="D24" s="82" t="s">
        <v>345</v>
      </c>
      <c r="E24" s="82">
        <v>75953</v>
      </c>
      <c r="F24" s="60">
        <f>IF(_480CblLgth[[#This Row],[480 Cable Length]]="","",COUNTIF('480v Power'!$D$14:$EZ$50000,_480CblLgth[[#This Row],[480 Cable Length]]))</f>
        <v>0</v>
      </c>
      <c r="G24" s="141"/>
      <c r="J24" s="60" t="str">
        <f>IF(_480Dev[[#This Row],[480 Device]]="","",COUNTIF('480v Power'!$D$14:$EZ$50000,_480Dev[[#This Row],[480 Device]]))</f>
        <v/>
      </c>
      <c r="K24" s="141"/>
      <c r="N24" s="60" t="str">
        <f>IF(_120CblLgth[[#This Row],[120 Cable Length]]="","",COUNTIF('120v Power'!$B$14:$EZ$50000,_120CblLgth[[#This Row],[120 Cable Length]]))</f>
        <v/>
      </c>
      <c r="O24" s="81"/>
      <c r="R24" s="60" t="str">
        <f>IF(_120Dev[[#This Row],[120 Device]]="","",COUNTIF('120v Power'!$B$14:$EZ$50000,_120Dev[[#This Row],[120 Device]]))</f>
        <v/>
      </c>
      <c r="S24" s="141"/>
      <c r="V24" s="60" t="str">
        <f>IF(_24CblLgth[[#This Row],[24 Cable Length]]="","",COUNTIF('24v Power'!$B$14:$EZ$50000,_24CblLgth[[#This Row],[24 Cable Length]]))</f>
        <v/>
      </c>
      <c r="W24" s="141"/>
      <c r="X24" s="82" t="s">
        <v>460</v>
      </c>
      <c r="Y24" s="82">
        <v>14114</v>
      </c>
      <c r="Z24" s="60">
        <f>IF(_24Dev[[#This Row],[24 Device]]="","",COUNTIF('24v Power'!$B$14:$EZ$50000,_24Dev[[#This Row],[24 Device]]))</f>
        <v>0</v>
      </c>
      <c r="AA24" s="141"/>
      <c r="AB24" s="82" t="s">
        <v>490</v>
      </c>
      <c r="AC24" s="82">
        <v>18778</v>
      </c>
      <c r="AD24" s="60">
        <f>IF(_ENetCblLgth[[#This Row],[ENet Cable Length]]="","",COUNTIF(Ethernet!$C$14:$EZ$50000,_ENetCblLgth[[#This Row],[ENet Cable Length]]))</f>
        <v>0</v>
      </c>
      <c r="AE24" s="81"/>
      <c r="AF24" s="91" t="s">
        <v>417</v>
      </c>
      <c r="AG24" s="141"/>
      <c r="AH24" s="82" t="s">
        <v>584</v>
      </c>
      <c r="AI24" s="82">
        <v>18532</v>
      </c>
      <c r="AJ24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4" s="141"/>
      <c r="AN24" s="60" t="str">
        <f>IF(_SafeIODev[[#This Row],[Safe IO Device]]="","",COUNTIF('Safety IO'!$C$12:$EZ$50000,_SafeIODev[[#This Row],[Safe IO Device]]))</f>
        <v/>
      </c>
      <c r="AO24" s="141"/>
      <c r="AR24" s="60" t="str">
        <f>IF(_IODev[[#This Row],[IO Device]]="","",COUNTIF('Standard IO'!$C$12:$EZ$49995,_IODev[[#This Row],[IO Device]]))</f>
        <v/>
      </c>
    </row>
    <row r="25" spans="1:44" x14ac:dyDescent="0.3">
      <c r="A25" s="90"/>
      <c r="C25" s="141"/>
      <c r="D25" s="82" t="s">
        <v>346</v>
      </c>
      <c r="E25" s="82">
        <v>75953</v>
      </c>
      <c r="F25" s="60">
        <f>IF(_480CblLgth[[#This Row],[480 Cable Length]]="","",COUNTIF('480v Power'!$D$14:$EZ$50000,_480CblLgth[[#This Row],[480 Cable Length]]))</f>
        <v>0</v>
      </c>
      <c r="G25" s="141"/>
      <c r="J25" s="60" t="str">
        <f>IF(_480Dev[[#This Row],[480 Device]]="","",COUNTIF('480v Power'!$D$14:$EZ$50000,_480Dev[[#This Row],[480 Device]]))</f>
        <v/>
      </c>
      <c r="K25" s="141"/>
      <c r="N25" s="60" t="str">
        <f>IF(_120CblLgth[[#This Row],[120 Cable Length]]="","",COUNTIF('120v Power'!$B$14:$EZ$50000,_120CblLgth[[#This Row],[120 Cable Length]]))</f>
        <v/>
      </c>
      <c r="O25" s="81"/>
      <c r="R25" s="60" t="str">
        <f>IF(_120Dev[[#This Row],[120 Device]]="","",COUNTIF('120v Power'!$B$14:$EZ$50000,_120Dev[[#This Row],[120 Device]]))</f>
        <v/>
      </c>
      <c r="S25" s="141"/>
      <c r="V25" s="60" t="str">
        <f>IF(_24CblLgth[[#This Row],[24 Cable Length]]="","",COUNTIF('24v Power'!$B$14:$EZ$50000,_24CblLgth[[#This Row],[24 Cable Length]]))</f>
        <v/>
      </c>
      <c r="W25" s="141"/>
      <c r="X25" s="82" t="s">
        <v>461</v>
      </c>
      <c r="Y25" s="82">
        <v>14115</v>
      </c>
      <c r="Z25" s="60">
        <f>IF(_24Dev[[#This Row],[24 Device]]="","",COUNTIF('24v Power'!$B$14:$EZ$50000,_24Dev[[#This Row],[24 Device]]))</f>
        <v>1</v>
      </c>
      <c r="AA25" s="141"/>
      <c r="AB25" s="82" t="s">
        <v>491</v>
      </c>
      <c r="AC25" s="82">
        <v>18779</v>
      </c>
      <c r="AD25" s="60">
        <f>IF(_ENetCblLgth[[#This Row],[ENet Cable Length]]="","",COUNTIF(Ethernet!$C$14:$EZ$50000,_ENetCblLgth[[#This Row],[ENet Cable Length]]))</f>
        <v>0</v>
      </c>
      <c r="AE25" s="81"/>
      <c r="AF25" s="91" t="s">
        <v>567</v>
      </c>
      <c r="AG25" s="141"/>
      <c r="AH25" s="82" t="s">
        <v>585</v>
      </c>
      <c r="AI25" s="82">
        <v>18533</v>
      </c>
      <c r="AJ25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5" s="141"/>
      <c r="AN25" s="60" t="str">
        <f>IF(_SafeIODev[[#This Row],[Safe IO Device]]="","",COUNTIF('Safety IO'!$C$12:$EZ$50000,_SafeIODev[[#This Row],[Safe IO Device]]))</f>
        <v/>
      </c>
      <c r="AO25" s="141"/>
      <c r="AR25" s="60" t="str">
        <f>IF(_IODev[[#This Row],[IO Device]]="","",COUNTIF('Standard IO'!$C$12:$EZ$49995,_IODev[[#This Row],[IO Device]]))</f>
        <v/>
      </c>
    </row>
    <row r="26" spans="1:44" x14ac:dyDescent="0.3">
      <c r="A26" s="90"/>
      <c r="C26" s="141"/>
      <c r="D26" s="82" t="s">
        <v>347</v>
      </c>
      <c r="E26" s="82">
        <v>75953</v>
      </c>
      <c r="F26" s="60">
        <f>IF(_480CblLgth[[#This Row],[480 Cable Length]]="","",COUNTIF('480v Power'!$D$14:$EZ$50000,_480CblLgth[[#This Row],[480 Cable Length]]))</f>
        <v>0</v>
      </c>
      <c r="G26" s="141"/>
      <c r="J26" s="60" t="str">
        <f>IF(_480Dev[[#This Row],[480 Device]]="","",COUNTIF('480v Power'!$D$14:$EZ$50000,_480Dev[[#This Row],[480 Device]]))</f>
        <v/>
      </c>
      <c r="K26" s="141"/>
      <c r="N26" s="60" t="str">
        <f>IF(_120CblLgth[[#This Row],[120 Cable Length]]="","",COUNTIF('120v Power'!$B$14:$EZ$50000,_120CblLgth[[#This Row],[120 Cable Length]]))</f>
        <v/>
      </c>
      <c r="O26" s="81"/>
      <c r="R26" s="60" t="str">
        <f>IF(_120Dev[[#This Row],[120 Device]]="","",COUNTIF('120v Power'!$B$14:$EZ$50000,_120Dev[[#This Row],[120 Device]]))</f>
        <v/>
      </c>
      <c r="S26" s="141"/>
      <c r="V26" s="60" t="str">
        <f>IF(_24CblLgth[[#This Row],[24 Cable Length]]="","",COUNTIF('24v Power'!$B$14:$EZ$50000,_24CblLgth[[#This Row],[24 Cable Length]]))</f>
        <v/>
      </c>
      <c r="W26" s="141"/>
      <c r="X26" s="82" t="s">
        <v>462</v>
      </c>
      <c r="Y26" s="82">
        <v>14116</v>
      </c>
      <c r="Z26" s="60">
        <f>IF(_24Dev[[#This Row],[24 Device]]="","",COUNTIF('24v Power'!$B$14:$EZ$50000,_24Dev[[#This Row],[24 Device]]))</f>
        <v>0</v>
      </c>
      <c r="AA26" s="141"/>
      <c r="AB26" s="82" t="s">
        <v>492</v>
      </c>
      <c r="AC26" s="82">
        <v>18780</v>
      </c>
      <c r="AD26" s="60">
        <f>IF(_ENetCblLgth[[#This Row],[ENet Cable Length]]="","",COUNTIF(Ethernet!$C$14:$EZ$50000,_ENetCblLgth[[#This Row],[ENet Cable Length]]))</f>
        <v>0</v>
      </c>
      <c r="AE26" s="81"/>
      <c r="AF26" s="91" t="s">
        <v>568</v>
      </c>
      <c r="AG26" s="141"/>
      <c r="AH26" s="82" t="s">
        <v>586</v>
      </c>
      <c r="AI26" s="82">
        <v>18534</v>
      </c>
      <c r="AJ26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6" s="141"/>
      <c r="AN26" s="60" t="str">
        <f>IF(_SafeIODev[[#This Row],[Safe IO Device]]="","",COUNTIF('Safety IO'!$C$12:$EZ$50000,_SafeIODev[[#This Row],[Safe IO Device]]))</f>
        <v/>
      </c>
      <c r="AO26" s="141"/>
      <c r="AR26" s="60" t="str">
        <f>IF(_IODev[[#This Row],[IO Device]]="","",COUNTIF('Standard IO'!$C$12:$EZ$49995,_IODev[[#This Row],[IO Device]]))</f>
        <v/>
      </c>
    </row>
    <row r="27" spans="1:44" x14ac:dyDescent="0.3">
      <c r="A27" s="90"/>
      <c r="C27" s="141"/>
      <c r="D27" s="82" t="s">
        <v>348</v>
      </c>
      <c r="E27" s="82">
        <v>75953</v>
      </c>
      <c r="F27" s="60">
        <f>IF(_480CblLgth[[#This Row],[480 Cable Length]]="","",COUNTIF('480v Power'!$D$14:$EZ$50000,_480CblLgth[[#This Row],[480 Cable Length]]))</f>
        <v>0</v>
      </c>
      <c r="G27" s="141"/>
      <c r="J27" s="60" t="str">
        <f>IF(_480Dev[[#This Row],[480 Device]]="","",COUNTIF('480v Power'!$D$14:$EZ$50000,_480Dev[[#This Row],[480 Device]]))</f>
        <v/>
      </c>
      <c r="K27" s="141"/>
      <c r="N27" s="60" t="str">
        <f>IF(_120CblLgth[[#This Row],[120 Cable Length]]="","",COUNTIF('120v Power'!$B$14:$EZ$50000,_120CblLgth[[#This Row],[120 Cable Length]]))</f>
        <v/>
      </c>
      <c r="O27" s="81"/>
      <c r="R27" s="60" t="str">
        <f>IF(_120Dev[[#This Row],[120 Device]]="","",COUNTIF('120v Power'!$B$14:$EZ$50000,_120Dev[[#This Row],[120 Device]]))</f>
        <v/>
      </c>
      <c r="S27" s="141"/>
      <c r="V27" s="60" t="str">
        <f>IF(_24CblLgth[[#This Row],[24 Cable Length]]="","",COUNTIF('24v Power'!$B$14:$EZ$50000,_24CblLgth[[#This Row],[24 Cable Length]]))</f>
        <v/>
      </c>
      <c r="W27" s="141"/>
      <c r="X27" s="82" t="s">
        <v>463</v>
      </c>
      <c r="Y27" s="82">
        <v>14117</v>
      </c>
      <c r="Z27" s="60">
        <f>IF(_24Dev[[#This Row],[24 Device]]="","",COUNTIF('24v Power'!$B$14:$EZ$50000,_24Dev[[#This Row],[24 Device]]))</f>
        <v>0</v>
      </c>
      <c r="AA27" s="141"/>
      <c r="AB27" s="82" t="s">
        <v>493</v>
      </c>
      <c r="AC27" s="82">
        <v>18781</v>
      </c>
      <c r="AD27" s="60">
        <f>IF(_ENetCblLgth[[#This Row],[ENet Cable Length]]="","",COUNTIF(Ethernet!$C$14:$EZ$50000,_ENetCblLgth[[#This Row],[ENet Cable Length]]))</f>
        <v>0</v>
      </c>
      <c r="AE27" s="81"/>
      <c r="AF27" s="91" t="s">
        <v>569</v>
      </c>
      <c r="AG27" s="141"/>
      <c r="AH27" s="82" t="s">
        <v>587</v>
      </c>
      <c r="AI27" s="82">
        <v>18535</v>
      </c>
      <c r="AJ27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7" s="141"/>
      <c r="AN27" s="60" t="str">
        <f>IF(_SafeIODev[[#This Row],[Safe IO Device]]="","",COUNTIF('Safety IO'!$C$12:$EZ$50000,_SafeIODev[[#This Row],[Safe IO Device]]))</f>
        <v/>
      </c>
      <c r="AO27" s="141"/>
      <c r="AR27" s="60" t="str">
        <f>IF(_IODev[[#This Row],[IO Device]]="","",COUNTIF('Standard IO'!$C$12:$EZ$49995,_IODev[[#This Row],[IO Device]]))</f>
        <v/>
      </c>
    </row>
    <row r="28" spans="1:44" x14ac:dyDescent="0.3">
      <c r="A28" s="90"/>
      <c r="C28" s="141"/>
      <c r="D28" s="82" t="s">
        <v>349</v>
      </c>
      <c r="E28" s="82">
        <v>75953</v>
      </c>
      <c r="F28" s="60">
        <f>IF(_480CblLgth[[#This Row],[480 Cable Length]]="","",COUNTIF('480v Power'!$D$14:$EZ$50000,_480CblLgth[[#This Row],[480 Cable Length]]))</f>
        <v>0</v>
      </c>
      <c r="G28" s="141"/>
      <c r="J28" s="60" t="str">
        <f>IF(_480Dev[[#This Row],[480 Device]]="","",COUNTIF('480v Power'!$D$14:$EZ$50000,_480Dev[[#This Row],[480 Device]]))</f>
        <v/>
      </c>
      <c r="K28" s="141"/>
      <c r="N28" s="60" t="str">
        <f>IF(_120CblLgth[[#This Row],[120 Cable Length]]="","",COUNTIF('120v Power'!$B$14:$EZ$50000,_120CblLgth[[#This Row],[120 Cable Length]]))</f>
        <v/>
      </c>
      <c r="O28" s="81"/>
      <c r="R28" s="60" t="str">
        <f>IF(_120Dev[[#This Row],[120 Device]]="","",COUNTIF('120v Power'!$B$14:$EZ$50000,_120Dev[[#This Row],[120 Device]]))</f>
        <v/>
      </c>
      <c r="S28" s="141"/>
      <c r="V28" s="60" t="str">
        <f>IF(_24CblLgth[[#This Row],[24 Cable Length]]="","",COUNTIF('24v Power'!$B$14:$EZ$50000,_24CblLgth[[#This Row],[24 Cable Length]]))</f>
        <v/>
      </c>
      <c r="W28" s="141"/>
      <c r="X28" s="82" t="s">
        <v>464</v>
      </c>
      <c r="Y28" s="82">
        <v>65091</v>
      </c>
      <c r="Z28" s="60">
        <f>IF(_24Dev[[#This Row],[24 Device]]="","",COUNTIF('24v Power'!$B$14:$EZ$50000,_24Dev[[#This Row],[24 Device]]))</f>
        <v>0</v>
      </c>
      <c r="AA28" s="141"/>
      <c r="AB28" s="82" t="s">
        <v>494</v>
      </c>
      <c r="AC28" s="82">
        <v>18782</v>
      </c>
      <c r="AD28" s="60">
        <f>IF(_ENetCblLgth[[#This Row],[ENet Cable Length]]="","",COUNTIF(Ethernet!$C$14:$EZ$50000,_ENetCblLgth[[#This Row],[ENet Cable Length]]))</f>
        <v>0</v>
      </c>
      <c r="AE28" s="81"/>
      <c r="AF28" s="91"/>
      <c r="AG28" s="141"/>
      <c r="AH28" s="82" t="s">
        <v>588</v>
      </c>
      <c r="AI28" s="82">
        <v>18536</v>
      </c>
      <c r="AJ28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8" s="141"/>
      <c r="AN28" s="60" t="str">
        <f>IF(_SafeIODev[[#This Row],[Safe IO Device]]="","",COUNTIF('Safety IO'!$C$12:$EZ$50000,_SafeIODev[[#This Row],[Safe IO Device]]))</f>
        <v/>
      </c>
      <c r="AO28" s="141"/>
      <c r="AR28" s="60" t="str">
        <f>IF(_IODev[[#This Row],[IO Device]]="","",COUNTIF('Standard IO'!$C$12:$EZ$49995,_IODev[[#This Row],[IO Device]]))</f>
        <v/>
      </c>
    </row>
    <row r="29" spans="1:44" x14ac:dyDescent="0.3">
      <c r="A29" s="90"/>
      <c r="C29" s="141"/>
      <c r="D29" s="82" t="s">
        <v>350</v>
      </c>
      <c r="E29" s="82">
        <v>75953</v>
      </c>
      <c r="F29" s="60">
        <f>IF(_480CblLgth[[#This Row],[480 Cable Length]]="","",COUNTIF('480v Power'!$D$14:$EZ$50000,_480CblLgth[[#This Row],[480 Cable Length]]))</f>
        <v>0</v>
      </c>
      <c r="G29" s="141"/>
      <c r="J29" s="60" t="str">
        <f>IF(_480Dev[[#This Row],[480 Device]]="","",COUNTIF('480v Power'!$D$14:$EZ$50000,_480Dev[[#This Row],[480 Device]]))</f>
        <v/>
      </c>
      <c r="K29" s="141"/>
      <c r="N29" s="60" t="str">
        <f>IF(_120CblLgth[[#This Row],[120 Cable Length]]="","",COUNTIF('120v Power'!$B$14:$EZ$50000,_120CblLgth[[#This Row],[120 Cable Length]]))</f>
        <v/>
      </c>
      <c r="O29" s="81"/>
      <c r="R29" s="60" t="str">
        <f>IF(_120Dev[[#This Row],[120 Device]]="","",COUNTIF('120v Power'!$B$14:$EZ$50000,_120Dev[[#This Row],[120 Device]]))</f>
        <v/>
      </c>
      <c r="S29" s="141"/>
      <c r="V29" s="60" t="str">
        <f>IF(_24CblLgth[[#This Row],[24 Cable Length]]="","",COUNTIF('24v Power'!$B$14:$EZ$50000,_24CblLgth[[#This Row],[24 Cable Length]]))</f>
        <v/>
      </c>
      <c r="W29" s="141"/>
      <c r="X29" s="82" t="s">
        <v>465</v>
      </c>
      <c r="Y29" s="82">
        <v>65011</v>
      </c>
      <c r="Z29" s="60">
        <f>IF(_24Dev[[#This Row],[24 Device]]="","",COUNTIF('24v Power'!$B$14:$EZ$50000,_24Dev[[#This Row],[24 Device]]))</f>
        <v>0</v>
      </c>
      <c r="AA29" s="141"/>
      <c r="AB29" s="82" t="s">
        <v>495</v>
      </c>
      <c r="AC29" s="82">
        <v>18783</v>
      </c>
      <c r="AD29" s="60">
        <f>IF(_ENetCblLgth[[#This Row],[ENet Cable Length]]="","",COUNTIF(Ethernet!$C$14:$EZ$50000,_ENetCblLgth[[#This Row],[ENet Cable Length]]))</f>
        <v>0</v>
      </c>
      <c r="AE29" s="81"/>
      <c r="AF29" s="91"/>
      <c r="AG29" s="141"/>
      <c r="AH29" s="82" t="s">
        <v>589</v>
      </c>
      <c r="AI29" s="82">
        <v>18537</v>
      </c>
      <c r="AJ29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29" s="141"/>
      <c r="AN29" s="60" t="str">
        <f>IF(_SafeIODev[[#This Row],[Safe IO Device]]="","",COUNTIF('Safety IO'!$C$12:$EZ$50000,_SafeIODev[[#This Row],[Safe IO Device]]))</f>
        <v/>
      </c>
      <c r="AO29" s="141"/>
      <c r="AR29" s="60" t="str">
        <f>IF(_IODev[[#This Row],[IO Device]]="","",COUNTIF('Standard IO'!$C$12:$EZ$49995,_IODev[[#This Row],[IO Device]]))</f>
        <v/>
      </c>
    </row>
    <row r="30" spans="1:44" x14ac:dyDescent="0.3">
      <c r="A30" s="90"/>
      <c r="C30" s="141"/>
      <c r="D30" s="82" t="s">
        <v>351</v>
      </c>
      <c r="E30" s="82">
        <v>75953</v>
      </c>
      <c r="F30" s="60">
        <f>IF(_480CblLgth[[#This Row],[480 Cable Length]]="","",COUNTIF('480v Power'!$D$14:$EZ$50000,_480CblLgth[[#This Row],[480 Cable Length]]))</f>
        <v>0</v>
      </c>
      <c r="G30" s="141"/>
      <c r="J30" s="60" t="str">
        <f>IF(_480Dev[[#This Row],[480 Device]]="","",COUNTIF('480v Power'!$D$14:$EZ$50000,_480Dev[[#This Row],[480 Device]]))</f>
        <v/>
      </c>
      <c r="K30" s="141"/>
      <c r="N30" s="60" t="str">
        <f>IF(_120CblLgth[[#This Row],[120 Cable Length]]="","",COUNTIF('120v Power'!$B$14:$EZ$50000,_120CblLgth[[#This Row],[120 Cable Length]]))</f>
        <v/>
      </c>
      <c r="O30" s="81"/>
      <c r="R30" s="60" t="str">
        <f>IF(_120Dev[[#This Row],[120 Device]]="","",COUNTIF('120v Power'!$B$14:$EZ$50000,_120Dev[[#This Row],[120 Device]]))</f>
        <v/>
      </c>
      <c r="S30" s="141"/>
      <c r="V30" s="60" t="str">
        <f>IF(_24CblLgth[[#This Row],[24 Cable Length]]="","",COUNTIF('24v Power'!$B$14:$EZ$50000,_24CblLgth[[#This Row],[24 Cable Length]]))</f>
        <v/>
      </c>
      <c r="W30" s="141"/>
      <c r="X30" s="82" t="s">
        <v>466</v>
      </c>
      <c r="Y30" s="82">
        <v>65449</v>
      </c>
      <c r="Z30" s="60">
        <f>IF(_24Dev[[#This Row],[24 Device]]="","",COUNTIF('24v Power'!$B$14:$EZ$50000,_24Dev[[#This Row],[24 Device]]))</f>
        <v>0</v>
      </c>
      <c r="AA30" s="141"/>
      <c r="AB30" s="82" t="s">
        <v>496</v>
      </c>
      <c r="AC30" s="82">
        <v>18784</v>
      </c>
      <c r="AD30" s="60">
        <f>IF(_ENetCblLgth[[#This Row],[ENet Cable Length]]="","",COUNTIF(Ethernet!$C$14:$EZ$50000,_ENetCblLgth[[#This Row],[ENet Cable Length]]))</f>
        <v>0</v>
      </c>
      <c r="AE30" s="81"/>
      <c r="AF30" s="91"/>
      <c r="AG30" s="141"/>
      <c r="AH30" s="82" t="s">
        <v>590</v>
      </c>
      <c r="AI30" s="82">
        <v>18538</v>
      </c>
      <c r="AJ30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0" s="141"/>
      <c r="AN30" s="60" t="str">
        <f>IF(_SafeIODev[[#This Row],[Safe IO Device]]="","",COUNTIF('Safety IO'!$C$12:$EZ$50000,_SafeIODev[[#This Row],[Safe IO Device]]))</f>
        <v/>
      </c>
      <c r="AO30" s="141"/>
      <c r="AR30" s="60" t="str">
        <f>IF(_IODev[[#This Row],[IO Device]]="","",COUNTIF('Standard IO'!$C$12:$EZ$49995,_IODev[[#This Row],[IO Device]]))</f>
        <v/>
      </c>
    </row>
    <row r="31" spans="1:44" x14ac:dyDescent="0.3">
      <c r="A31" s="90"/>
      <c r="C31" s="141"/>
      <c r="D31" s="82" t="s">
        <v>352</v>
      </c>
      <c r="E31" s="82">
        <v>75953</v>
      </c>
      <c r="F31" s="60">
        <f>IF(_480CblLgth[[#This Row],[480 Cable Length]]="","",COUNTIF('480v Power'!$D$14:$EZ$50000,_480CblLgth[[#This Row],[480 Cable Length]]))</f>
        <v>0</v>
      </c>
      <c r="G31" s="141"/>
      <c r="J31" s="60" t="str">
        <f>IF(_480Dev[[#This Row],[480 Device]]="","",COUNTIF('480v Power'!$D$14:$EZ$50000,_480Dev[[#This Row],[480 Device]]))</f>
        <v/>
      </c>
      <c r="K31" s="141"/>
      <c r="N31" s="60" t="str">
        <f>IF(_120CblLgth[[#This Row],[120 Cable Length]]="","",COUNTIF('120v Power'!$B$14:$EZ$50000,_120CblLgth[[#This Row],[120 Cable Length]]))</f>
        <v/>
      </c>
      <c r="O31" s="81"/>
      <c r="R31" s="60" t="str">
        <f>IF(_120Dev[[#This Row],[120 Device]]="","",COUNTIF('120v Power'!$B$14:$EZ$50000,_120Dev[[#This Row],[120 Device]]))</f>
        <v/>
      </c>
      <c r="S31" s="141"/>
      <c r="V31" s="60" t="str">
        <f>IF(_24CblLgth[[#This Row],[24 Cable Length]]="","",COUNTIF('24v Power'!$B$14:$EZ$50000,_24CblLgth[[#This Row],[24 Cable Length]]))</f>
        <v/>
      </c>
      <c r="W31" s="141"/>
      <c r="X31" s="82" t="s">
        <v>467</v>
      </c>
      <c r="Y31" s="82">
        <v>16037</v>
      </c>
      <c r="Z31" s="60">
        <f>IF(_24Dev[[#This Row],[24 Device]]="","",COUNTIF('24v Power'!$B$14:$EZ$50000,_24Dev[[#This Row],[24 Device]]))</f>
        <v>0</v>
      </c>
      <c r="AA31" s="141"/>
      <c r="AB31" s="82" t="s">
        <v>497</v>
      </c>
      <c r="AC31" s="82">
        <v>18785</v>
      </c>
      <c r="AD31" s="60">
        <f>IF(_ENetCblLgth[[#This Row],[ENet Cable Length]]="","",COUNTIF(Ethernet!$C$14:$EZ$50000,_ENetCblLgth[[#This Row],[ENet Cable Length]]))</f>
        <v>0</v>
      </c>
      <c r="AE31" s="81"/>
      <c r="AF31" s="91"/>
      <c r="AG31" s="141"/>
      <c r="AH31" s="82" t="s">
        <v>591</v>
      </c>
      <c r="AI31" s="82">
        <v>18680</v>
      </c>
      <c r="AJ31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1" s="141"/>
      <c r="AN31" s="60" t="str">
        <f>IF(_SafeIODev[[#This Row],[Safe IO Device]]="","",COUNTIF('Safety IO'!$C$12:$EZ$50000,_SafeIODev[[#This Row],[Safe IO Device]]))</f>
        <v/>
      </c>
      <c r="AO31" s="141"/>
      <c r="AR31" s="60" t="str">
        <f>IF(_IODev[[#This Row],[IO Device]]="","",COUNTIF('Standard IO'!$C$12:$EZ$49995,_IODev[[#This Row],[IO Device]]))</f>
        <v/>
      </c>
    </row>
    <row r="32" spans="1:44" x14ac:dyDescent="0.3">
      <c r="A32" s="90"/>
      <c r="C32" s="141"/>
      <c r="D32" s="82" t="s">
        <v>353</v>
      </c>
      <c r="E32" s="82">
        <v>75953</v>
      </c>
      <c r="F32" s="60">
        <f>IF(_480CblLgth[[#This Row],[480 Cable Length]]="","",COUNTIF('480v Power'!$D$14:$EZ$50000,_480CblLgth[[#This Row],[480 Cable Length]]))</f>
        <v>0</v>
      </c>
      <c r="G32" s="141"/>
      <c r="J32" s="60" t="str">
        <f>IF(_480Dev[[#This Row],[480 Device]]="","",COUNTIF('480v Power'!$D$14:$EZ$50000,_480Dev[[#This Row],[480 Device]]))</f>
        <v/>
      </c>
      <c r="K32" s="141"/>
      <c r="N32" s="60" t="str">
        <f>IF(_120CblLgth[[#This Row],[120 Cable Length]]="","",COUNTIF('120v Power'!$B$14:$EZ$50000,_120CblLgth[[#This Row],[120 Cable Length]]))</f>
        <v/>
      </c>
      <c r="O32" s="81"/>
      <c r="R32" s="60" t="str">
        <f>IF(_120Dev[[#This Row],[120 Device]]="","",COUNTIF('120v Power'!$B$14:$EZ$50000,_120Dev[[#This Row],[120 Device]]))</f>
        <v/>
      </c>
      <c r="S32" s="141"/>
      <c r="V32" s="60" t="str">
        <f>IF(_24CblLgth[[#This Row],[24 Cable Length]]="","",COUNTIF('24v Power'!$B$14:$EZ$50000,_24CblLgth[[#This Row],[24 Cable Length]]))</f>
        <v/>
      </c>
      <c r="W32" s="141"/>
      <c r="X32" s="82" t="s">
        <v>468</v>
      </c>
      <c r="Y32" s="82">
        <v>16036</v>
      </c>
      <c r="Z32" s="60">
        <f>IF(_24Dev[[#This Row],[24 Device]]="","",COUNTIF('24v Power'!$B$14:$EZ$50000,_24Dev[[#This Row],[24 Device]]))</f>
        <v>0</v>
      </c>
      <c r="AA32" s="141"/>
      <c r="AB32" s="82" t="s">
        <v>498</v>
      </c>
      <c r="AC32" s="82">
        <v>18786</v>
      </c>
      <c r="AD32" s="60">
        <f>IF(_ENetCblLgth[[#This Row],[ENet Cable Length]]="","",COUNTIF(Ethernet!$C$14:$EZ$50000,_ENetCblLgth[[#This Row],[ENet Cable Length]]))</f>
        <v>0</v>
      </c>
      <c r="AE32" s="81"/>
      <c r="AF32" s="91"/>
      <c r="AG32" s="141"/>
      <c r="AH32" s="82" t="s">
        <v>592</v>
      </c>
      <c r="AI32" s="82">
        <v>18681</v>
      </c>
      <c r="AJ32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2" s="141"/>
      <c r="AN32" s="60" t="str">
        <f>IF(_SafeIODev[[#This Row],[Safe IO Device]]="","",COUNTIF('Safety IO'!$C$12:$EZ$50000,_SafeIODev[[#This Row],[Safe IO Device]]))</f>
        <v/>
      </c>
      <c r="AO32" s="141"/>
      <c r="AR32" s="60" t="str">
        <f>IF(_IODev[[#This Row],[IO Device]]="","",COUNTIF('Standard IO'!$C$12:$EZ$49995,_IODev[[#This Row],[IO Device]]))</f>
        <v/>
      </c>
    </row>
    <row r="33" spans="1:44" x14ac:dyDescent="0.3">
      <c r="A33" s="90"/>
      <c r="C33" s="141"/>
      <c r="D33" s="82" t="s">
        <v>354</v>
      </c>
      <c r="E33" s="82">
        <v>75953</v>
      </c>
      <c r="F33" s="60">
        <f>IF(_480CblLgth[[#This Row],[480 Cable Length]]="","",COUNTIF('480v Power'!$D$14:$EZ$50000,_480CblLgth[[#This Row],[480 Cable Length]]))</f>
        <v>0</v>
      </c>
      <c r="G33" s="141"/>
      <c r="J33" s="60" t="str">
        <f>IF(_480Dev[[#This Row],[480 Device]]="","",COUNTIF('480v Power'!$D$14:$EZ$50000,_480Dev[[#This Row],[480 Device]]))</f>
        <v/>
      </c>
      <c r="K33" s="141"/>
      <c r="N33" s="60" t="str">
        <f>IF(_120CblLgth[[#This Row],[120 Cable Length]]="","",COUNTIF('120v Power'!$B$14:$EZ$50000,_120CblLgth[[#This Row],[120 Cable Length]]))</f>
        <v/>
      </c>
      <c r="O33" s="81"/>
      <c r="R33" s="60" t="str">
        <f>IF(_120Dev[[#This Row],[120 Device]]="","",COUNTIF('120v Power'!$B$14:$EZ$50000,_120Dev[[#This Row],[120 Device]]))</f>
        <v/>
      </c>
      <c r="S33" s="141"/>
      <c r="V33" s="60" t="str">
        <f>IF(_24CblLgth[[#This Row],[24 Cable Length]]="","",COUNTIF('24v Power'!$B$14:$EZ$50000,_24CblLgth[[#This Row],[24 Cable Length]]))</f>
        <v/>
      </c>
      <c r="W33" s="141"/>
      <c r="Z33" s="60" t="str">
        <f>IF(_24Dev[[#This Row],[24 Device]]="","",COUNTIF('24v Power'!$B$14:$EZ$50000,_24Dev[[#This Row],[24 Device]]))</f>
        <v/>
      </c>
      <c r="AA33" s="141"/>
      <c r="AB33" s="82" t="s">
        <v>499</v>
      </c>
      <c r="AC33" s="82">
        <v>18787</v>
      </c>
      <c r="AD33" s="60">
        <f>IF(_ENetCblLgth[[#This Row],[ENet Cable Length]]="","",COUNTIF(Ethernet!$C$14:$EZ$50000,_ENetCblLgth[[#This Row],[ENet Cable Length]]))</f>
        <v>0</v>
      </c>
      <c r="AE33" s="81"/>
      <c r="AF33" s="91"/>
      <c r="AG33" s="141"/>
      <c r="AH33" s="82" t="s">
        <v>593</v>
      </c>
      <c r="AI33" s="82">
        <v>18682</v>
      </c>
      <c r="AJ33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3" s="141"/>
      <c r="AN33" s="60" t="str">
        <f>IF(_SafeIODev[[#This Row],[Safe IO Device]]="","",COUNTIF('Safety IO'!$C$12:$EZ$50000,_SafeIODev[[#This Row],[Safe IO Device]]))</f>
        <v/>
      </c>
      <c r="AO33" s="141"/>
      <c r="AR33" s="60" t="str">
        <f>IF(_IODev[[#This Row],[IO Device]]="","",COUNTIF('Standard IO'!$C$12:$EZ$49995,_IODev[[#This Row],[IO Device]]))</f>
        <v/>
      </c>
    </row>
    <row r="34" spans="1:44" x14ac:dyDescent="0.3">
      <c r="A34" s="90"/>
      <c r="C34" s="141"/>
      <c r="D34" s="82" t="s">
        <v>355</v>
      </c>
      <c r="E34" s="82">
        <v>75953</v>
      </c>
      <c r="F34" s="60">
        <f>IF(_480CblLgth[[#This Row],[480 Cable Length]]="","",COUNTIF('480v Power'!$D$14:$EZ$50000,_480CblLgth[[#This Row],[480 Cable Length]]))</f>
        <v>0</v>
      </c>
      <c r="G34" s="141"/>
      <c r="J34" s="60" t="str">
        <f>IF(_480Dev[[#This Row],[480 Device]]="","",COUNTIF('480v Power'!$D$14:$EZ$50000,_480Dev[[#This Row],[480 Device]]))</f>
        <v/>
      </c>
      <c r="K34" s="141"/>
      <c r="N34" s="60" t="str">
        <f>IF(_120CblLgth[[#This Row],[120 Cable Length]]="","",COUNTIF('120v Power'!$B$14:$EZ$50000,_120CblLgth[[#This Row],[120 Cable Length]]))</f>
        <v/>
      </c>
      <c r="O34" s="81"/>
      <c r="R34" s="60" t="str">
        <f>IF(_120Dev[[#This Row],[120 Device]]="","",COUNTIF('120v Power'!$B$14:$EZ$50000,_120Dev[[#This Row],[120 Device]]))</f>
        <v/>
      </c>
      <c r="S34" s="141"/>
      <c r="V34" s="60" t="str">
        <f>IF(_24CblLgth[[#This Row],[24 Cable Length]]="","",COUNTIF('24v Power'!$B$14:$EZ$50000,_24CblLgth[[#This Row],[24 Cable Length]]))</f>
        <v/>
      </c>
      <c r="W34" s="141"/>
      <c r="Z34" s="60" t="str">
        <f>IF(_24Dev[[#This Row],[24 Device]]="","",COUNTIF('24v Power'!$B$14:$EZ$50000,_24Dev[[#This Row],[24 Device]]))</f>
        <v/>
      </c>
      <c r="AA34" s="141"/>
      <c r="AB34" s="82" t="s">
        <v>500</v>
      </c>
      <c r="AC34" s="82">
        <v>18788</v>
      </c>
      <c r="AD34" s="60">
        <f>IF(_ENetCblLgth[[#This Row],[ENet Cable Length]]="","",COUNTIF(Ethernet!$C$14:$EZ$50000,_ENetCblLgth[[#This Row],[ENet Cable Length]]))</f>
        <v>0</v>
      </c>
      <c r="AE34" s="81"/>
      <c r="AF34" s="91"/>
      <c r="AG34" s="141"/>
      <c r="AH34" s="82" t="s">
        <v>594</v>
      </c>
      <c r="AI34" s="82">
        <v>18683</v>
      </c>
      <c r="AJ34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4" s="141"/>
      <c r="AN34" s="60" t="str">
        <f>IF(_SafeIODev[[#This Row],[Safe IO Device]]="","",COUNTIF('Safety IO'!$C$12:$EZ$50000,_SafeIODev[[#This Row],[Safe IO Device]]))</f>
        <v/>
      </c>
      <c r="AO34" s="141"/>
      <c r="AR34" s="60" t="str">
        <f>IF(_IODev[[#This Row],[IO Device]]="","",COUNTIF('Standard IO'!$C$12:$EZ$49995,_IODev[[#This Row],[IO Device]]))</f>
        <v/>
      </c>
    </row>
    <row r="35" spans="1:44" x14ac:dyDescent="0.3">
      <c r="A35" s="90"/>
      <c r="C35" s="141"/>
      <c r="D35" s="82" t="s">
        <v>356</v>
      </c>
      <c r="E35" s="82">
        <v>75953</v>
      </c>
      <c r="F35" s="60">
        <f>IF(_480CblLgth[[#This Row],[480 Cable Length]]="","",COUNTIF('480v Power'!$D$14:$EZ$50000,_480CblLgth[[#This Row],[480 Cable Length]]))</f>
        <v>0</v>
      </c>
      <c r="G35" s="141"/>
      <c r="J35" s="60" t="str">
        <f>IF(_480Dev[[#This Row],[480 Device]]="","",COUNTIF('480v Power'!$D$14:$EZ$50000,_480Dev[[#This Row],[480 Device]]))</f>
        <v/>
      </c>
      <c r="K35" s="141"/>
      <c r="N35" s="60" t="str">
        <f>IF(_120CblLgth[[#This Row],[120 Cable Length]]="","",COUNTIF('120v Power'!$B$14:$EZ$50000,_120CblLgth[[#This Row],[120 Cable Length]]))</f>
        <v/>
      </c>
      <c r="O35" s="81"/>
      <c r="R35" s="60" t="str">
        <f>IF(_120Dev[[#This Row],[120 Device]]="","",COUNTIF('120v Power'!$B$14:$EZ$50000,_120Dev[[#This Row],[120 Device]]))</f>
        <v/>
      </c>
      <c r="S35" s="141"/>
      <c r="V35" s="60" t="str">
        <f>IF(_24CblLgth[[#This Row],[24 Cable Length]]="","",COUNTIF('24v Power'!$B$14:$EZ$50000,_24CblLgth[[#This Row],[24 Cable Length]]))</f>
        <v/>
      </c>
      <c r="W35" s="141"/>
      <c r="Z35" s="60" t="str">
        <f>IF(_24Dev[[#This Row],[24 Device]]="","",COUNTIF('24v Power'!$B$14:$EZ$50000,_24Dev[[#This Row],[24 Device]]))</f>
        <v/>
      </c>
      <c r="AA35" s="141"/>
      <c r="AB35" s="82" t="s">
        <v>501</v>
      </c>
      <c r="AC35" s="82">
        <v>18858</v>
      </c>
      <c r="AD35" s="60">
        <f>IF(_ENetCblLgth[[#This Row],[ENet Cable Length]]="","",COUNTIF(Ethernet!$C$14:$EZ$50000,_ENetCblLgth[[#This Row],[ENet Cable Length]]))</f>
        <v>0</v>
      </c>
      <c r="AE35" s="81"/>
      <c r="AF35" s="91"/>
      <c r="AG35" s="141"/>
      <c r="AH35" s="82" t="s">
        <v>595</v>
      </c>
      <c r="AI35" s="82">
        <v>18684</v>
      </c>
      <c r="AJ35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5" s="141"/>
      <c r="AN35" s="60" t="str">
        <f>IF(_SafeIODev[[#This Row],[Safe IO Device]]="","",COUNTIF('Safety IO'!$C$12:$EZ$50000,_SafeIODev[[#This Row],[Safe IO Device]]))</f>
        <v/>
      </c>
      <c r="AO35" s="141"/>
      <c r="AR35" s="60" t="str">
        <f>IF(_IODev[[#This Row],[IO Device]]="","",COUNTIF('Standard IO'!$C$12:$EZ$49995,_IODev[[#This Row],[IO Device]]))</f>
        <v/>
      </c>
    </row>
    <row r="36" spans="1:44" x14ac:dyDescent="0.3">
      <c r="A36" s="90"/>
      <c r="C36" s="141"/>
      <c r="D36" s="82" t="s">
        <v>357</v>
      </c>
      <c r="E36" s="82">
        <v>75953</v>
      </c>
      <c r="F36" s="60">
        <f>IF(_480CblLgth[[#This Row],[480 Cable Length]]="","",COUNTIF('480v Power'!$D$14:$EZ$50000,_480CblLgth[[#This Row],[480 Cable Length]]))</f>
        <v>0</v>
      </c>
      <c r="G36" s="141"/>
      <c r="J36" s="60" t="str">
        <f>IF(_480Dev[[#This Row],[480 Device]]="","",COUNTIF('480v Power'!$D$14:$EZ$50000,_480Dev[[#This Row],[480 Device]]))</f>
        <v/>
      </c>
      <c r="K36" s="141"/>
      <c r="N36" s="60" t="str">
        <f>IF(_120CblLgth[[#This Row],[120 Cable Length]]="","",COUNTIF('120v Power'!$B$14:$EZ$50000,_120CblLgth[[#This Row],[120 Cable Length]]))</f>
        <v/>
      </c>
      <c r="O36" s="81"/>
      <c r="R36" s="60" t="str">
        <f>IF(_120Dev[[#This Row],[120 Device]]="","",COUNTIF('120v Power'!$B$14:$EZ$50000,_120Dev[[#This Row],[120 Device]]))</f>
        <v/>
      </c>
      <c r="S36" s="141"/>
      <c r="V36" s="60" t="str">
        <f>IF(_24CblLgth[[#This Row],[24 Cable Length]]="","",COUNTIF('24v Power'!$B$14:$EZ$50000,_24CblLgth[[#This Row],[24 Cable Length]]))</f>
        <v/>
      </c>
      <c r="W36" s="141"/>
      <c r="Z36" s="60" t="str">
        <f>IF(_24Dev[[#This Row],[24 Device]]="","",COUNTIF('24v Power'!$B$14:$EZ$50000,_24Dev[[#This Row],[24 Device]]))</f>
        <v/>
      </c>
      <c r="AA36" s="141"/>
      <c r="AB36" s="82" t="s">
        <v>502</v>
      </c>
      <c r="AC36" s="82">
        <v>18860</v>
      </c>
      <c r="AD36" s="60">
        <f>IF(_ENetCblLgth[[#This Row],[ENet Cable Length]]="","",COUNTIF(Ethernet!$C$14:$EZ$50000,_ENetCblLgth[[#This Row],[ENet Cable Length]]))</f>
        <v>0</v>
      </c>
      <c r="AE36" s="81"/>
      <c r="AF36" s="91"/>
      <c r="AG36" s="141"/>
      <c r="AH36" s="82" t="s">
        <v>596</v>
      </c>
      <c r="AI36" s="82">
        <v>18685</v>
      </c>
      <c r="AJ36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6" s="141"/>
      <c r="AN36" s="60" t="str">
        <f>IF(_SafeIODev[[#This Row],[Safe IO Device]]="","",COUNTIF('Safety IO'!$C$12:$EZ$50000,_SafeIODev[[#This Row],[Safe IO Device]]))</f>
        <v/>
      </c>
      <c r="AO36" s="141"/>
      <c r="AR36" s="60" t="str">
        <f>IF(_IODev[[#This Row],[IO Device]]="","",COUNTIF('Standard IO'!$C$12:$EZ$49995,_IODev[[#This Row],[IO Device]]))</f>
        <v/>
      </c>
    </row>
    <row r="37" spans="1:44" x14ac:dyDescent="0.3">
      <c r="A37" s="90"/>
      <c r="C37" s="141"/>
      <c r="D37" s="82" t="s">
        <v>358</v>
      </c>
      <c r="E37" s="82">
        <v>75953</v>
      </c>
      <c r="F37" s="60">
        <f>IF(_480CblLgth[[#This Row],[480 Cable Length]]="","",COUNTIF('480v Power'!$D$14:$EZ$50000,_480CblLgth[[#This Row],[480 Cable Length]]))</f>
        <v>0</v>
      </c>
      <c r="G37" s="141"/>
      <c r="J37" s="60" t="str">
        <f>IF(_480Dev[[#This Row],[480 Device]]="","",COUNTIF('480v Power'!$D$14:$EZ$50000,_480Dev[[#This Row],[480 Device]]))</f>
        <v/>
      </c>
      <c r="K37" s="141"/>
      <c r="N37" s="60" t="str">
        <f>IF(_120CblLgth[[#This Row],[120 Cable Length]]="","",COUNTIF('120v Power'!$B$14:$EZ$50000,_120CblLgth[[#This Row],[120 Cable Length]]))</f>
        <v/>
      </c>
      <c r="O37" s="81"/>
      <c r="R37" s="60" t="str">
        <f>IF(_120Dev[[#This Row],[120 Device]]="","",COUNTIF('120v Power'!$B$14:$EZ$50000,_120Dev[[#This Row],[120 Device]]))</f>
        <v/>
      </c>
      <c r="S37" s="141"/>
      <c r="V37" s="60" t="str">
        <f>IF(_24CblLgth[[#This Row],[24 Cable Length]]="","",COUNTIF('24v Power'!$B$14:$EZ$50000,_24CblLgth[[#This Row],[24 Cable Length]]))</f>
        <v/>
      </c>
      <c r="W37" s="141"/>
      <c r="Z37" s="60" t="str">
        <f>IF(_24Dev[[#This Row],[24 Device]]="","",COUNTIF('24v Power'!$B$14:$EZ$50000,_24Dev[[#This Row],[24 Device]]))</f>
        <v/>
      </c>
      <c r="AA37" s="141"/>
      <c r="AB37" s="82" t="s">
        <v>503</v>
      </c>
      <c r="AC37" s="82">
        <v>18861</v>
      </c>
      <c r="AD37" s="60">
        <f>IF(_ENetCblLgth[[#This Row],[ENet Cable Length]]="","",COUNTIF(Ethernet!$C$14:$EZ$50000,_ENetCblLgth[[#This Row],[ENet Cable Length]]))</f>
        <v>0</v>
      </c>
      <c r="AE37" s="81"/>
      <c r="AF37" s="91"/>
      <c r="AG37" s="141"/>
      <c r="AH37" s="82" t="s">
        <v>597</v>
      </c>
      <c r="AI37" s="82">
        <v>18686</v>
      </c>
      <c r="AJ37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7" s="141"/>
      <c r="AN37" s="60" t="str">
        <f>IF(_SafeIODev[[#This Row],[Safe IO Device]]="","",COUNTIF('Safety IO'!$C$12:$EZ$50000,_SafeIODev[[#This Row],[Safe IO Device]]))</f>
        <v/>
      </c>
      <c r="AO37" s="141"/>
      <c r="AR37" s="60" t="str">
        <f>IF(_IODev[[#This Row],[IO Device]]="","",COUNTIF('Standard IO'!$C$12:$EZ$49995,_IODev[[#This Row],[IO Device]]))</f>
        <v/>
      </c>
    </row>
    <row r="38" spans="1:44" x14ac:dyDescent="0.3">
      <c r="A38" s="90"/>
      <c r="C38" s="141"/>
      <c r="D38" s="82" t="s">
        <v>359</v>
      </c>
      <c r="E38" s="82">
        <v>75953</v>
      </c>
      <c r="F38" s="60">
        <f>IF(_480CblLgth[[#This Row],[480 Cable Length]]="","",COUNTIF('480v Power'!$D$14:$EZ$50000,_480CblLgth[[#This Row],[480 Cable Length]]))</f>
        <v>0</v>
      </c>
      <c r="G38" s="141"/>
      <c r="J38" s="60" t="str">
        <f>IF(_480Dev[[#This Row],[480 Device]]="","",COUNTIF('480v Power'!$D$14:$EZ$50000,_480Dev[[#This Row],[480 Device]]))</f>
        <v/>
      </c>
      <c r="K38" s="141"/>
      <c r="N38" s="60" t="str">
        <f>IF(_120CblLgth[[#This Row],[120 Cable Length]]="","",COUNTIF('120v Power'!$B$14:$EZ$50000,_120CblLgth[[#This Row],[120 Cable Length]]))</f>
        <v/>
      </c>
      <c r="O38" s="81"/>
      <c r="R38" s="60" t="str">
        <f>IF(_120Dev[[#This Row],[120 Device]]="","",COUNTIF('120v Power'!$B$14:$EZ$50000,_120Dev[[#This Row],[120 Device]]))</f>
        <v/>
      </c>
      <c r="S38" s="141"/>
      <c r="V38" s="60" t="str">
        <f>IF(_24CblLgth[[#This Row],[24 Cable Length]]="","",COUNTIF('24v Power'!$B$14:$EZ$50000,_24CblLgth[[#This Row],[24 Cable Length]]))</f>
        <v/>
      </c>
      <c r="W38" s="141"/>
      <c r="Z38" s="60" t="str">
        <f>IF(_24Dev[[#This Row],[24 Device]]="","",COUNTIF('24v Power'!$B$14:$EZ$50000,_24Dev[[#This Row],[24 Device]]))</f>
        <v/>
      </c>
      <c r="AA38" s="141"/>
      <c r="AB38" s="82" t="s">
        <v>504</v>
      </c>
      <c r="AC38" s="82">
        <v>18862</v>
      </c>
      <c r="AD38" s="60">
        <f>IF(_ENetCblLgth[[#This Row],[ENet Cable Length]]="","",COUNTIF(Ethernet!$C$14:$EZ$50000,_ENetCblLgth[[#This Row],[ENet Cable Length]]))</f>
        <v>0</v>
      </c>
      <c r="AE38" s="81"/>
      <c r="AF38" s="91"/>
      <c r="AG38" s="141"/>
      <c r="AH38" s="82" t="s">
        <v>598</v>
      </c>
      <c r="AI38" s="82">
        <v>18687</v>
      </c>
      <c r="AJ38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8" s="141"/>
      <c r="AN38" s="60" t="str">
        <f>IF(_SafeIODev[[#This Row],[Safe IO Device]]="","",COUNTIF('Safety IO'!$C$12:$EZ$50000,_SafeIODev[[#This Row],[Safe IO Device]]))</f>
        <v/>
      </c>
      <c r="AO38" s="141"/>
      <c r="AR38" s="60" t="str">
        <f>IF(_IODev[[#This Row],[IO Device]]="","",COUNTIF('Standard IO'!$C$12:$EZ$49995,_IODev[[#This Row],[IO Device]]))</f>
        <v/>
      </c>
    </row>
    <row r="39" spans="1:44" x14ac:dyDescent="0.3">
      <c r="A39" s="90"/>
      <c r="C39" s="141"/>
      <c r="D39" s="82" t="s">
        <v>360</v>
      </c>
      <c r="E39" s="82">
        <v>75953</v>
      </c>
      <c r="F39" s="60">
        <f>IF(_480CblLgth[[#This Row],[480 Cable Length]]="","",COUNTIF('480v Power'!$D$14:$EZ$50000,_480CblLgth[[#This Row],[480 Cable Length]]))</f>
        <v>0</v>
      </c>
      <c r="G39" s="141"/>
      <c r="J39" s="60" t="str">
        <f>IF(_480Dev[[#This Row],[480 Device]]="","",COUNTIF('480v Power'!$D$14:$EZ$50000,_480Dev[[#This Row],[480 Device]]))</f>
        <v/>
      </c>
      <c r="K39" s="141"/>
      <c r="N39" s="60" t="str">
        <f>IF(_120CblLgth[[#This Row],[120 Cable Length]]="","",COUNTIF('120v Power'!$B$14:$EZ$50000,_120CblLgth[[#This Row],[120 Cable Length]]))</f>
        <v/>
      </c>
      <c r="O39" s="81"/>
      <c r="R39" s="60" t="str">
        <f>IF(_120Dev[[#This Row],[120 Device]]="","",COUNTIF('120v Power'!$B$14:$EZ$50000,_120Dev[[#This Row],[120 Device]]))</f>
        <v/>
      </c>
      <c r="S39" s="141"/>
      <c r="V39" s="60" t="str">
        <f>IF(_24CblLgth[[#This Row],[24 Cable Length]]="","",COUNTIF('24v Power'!$B$14:$EZ$50000,_24CblLgth[[#This Row],[24 Cable Length]]))</f>
        <v/>
      </c>
      <c r="W39" s="141"/>
      <c r="Z39" s="60" t="str">
        <f>IF(_24Dev[[#This Row],[24 Device]]="","",COUNTIF('24v Power'!$B$14:$EZ$50000,_24Dev[[#This Row],[24 Device]]))</f>
        <v/>
      </c>
      <c r="AA39" s="141"/>
      <c r="AB39" s="82" t="s">
        <v>505</v>
      </c>
      <c r="AC39" s="82">
        <v>18863</v>
      </c>
      <c r="AD39" s="60">
        <f>IF(_ENetCblLgth[[#This Row],[ENet Cable Length]]="","",COUNTIF(Ethernet!$C$14:$EZ$50000,_ENetCblLgth[[#This Row],[ENet Cable Length]]))</f>
        <v>0</v>
      </c>
      <c r="AE39" s="81"/>
      <c r="AF39" s="91"/>
      <c r="AG39" s="141"/>
      <c r="AH39" s="82" t="s">
        <v>599</v>
      </c>
      <c r="AI39" s="82">
        <v>18689</v>
      </c>
      <c r="AJ39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39" s="141"/>
      <c r="AN39" s="60" t="str">
        <f>IF(_SafeIODev[[#This Row],[Safe IO Device]]="","",COUNTIF('Safety IO'!$C$12:$EZ$50000,_SafeIODev[[#This Row],[Safe IO Device]]))</f>
        <v/>
      </c>
      <c r="AO39" s="141"/>
      <c r="AR39" s="60" t="str">
        <f>IF(_IODev[[#This Row],[IO Device]]="","",COUNTIF('Standard IO'!$C$12:$EZ$49995,_IODev[[#This Row],[IO Device]]))</f>
        <v/>
      </c>
    </row>
    <row r="40" spans="1:44" x14ac:dyDescent="0.3">
      <c r="A40" s="90"/>
      <c r="C40" s="141"/>
      <c r="D40" s="82" t="s">
        <v>361</v>
      </c>
      <c r="E40" s="82">
        <v>75953</v>
      </c>
      <c r="F40" s="60">
        <f>IF(_480CblLgth[[#This Row],[480 Cable Length]]="","",COUNTIF('480v Power'!$D$14:$EZ$50000,_480CblLgth[[#This Row],[480 Cable Length]]))</f>
        <v>0</v>
      </c>
      <c r="G40" s="141"/>
      <c r="J40" s="60" t="str">
        <f>IF(_480Dev[[#This Row],[480 Device]]="","",COUNTIF('480v Power'!$D$14:$EZ$50000,_480Dev[[#This Row],[480 Device]]))</f>
        <v/>
      </c>
      <c r="K40" s="141"/>
      <c r="N40" s="60" t="str">
        <f>IF(_120CblLgth[[#This Row],[120 Cable Length]]="","",COUNTIF('120v Power'!$B$14:$EZ$50000,_120CblLgth[[#This Row],[120 Cable Length]]))</f>
        <v/>
      </c>
      <c r="O40" s="81"/>
      <c r="R40" s="60" t="str">
        <f>IF(_120Dev[[#This Row],[120 Device]]="","",COUNTIF('120v Power'!$B$14:$EZ$50000,_120Dev[[#This Row],[120 Device]]))</f>
        <v/>
      </c>
      <c r="S40" s="141"/>
      <c r="V40" s="60" t="str">
        <f>IF(_24CblLgth[[#This Row],[24 Cable Length]]="","",COUNTIF('24v Power'!$B$14:$EZ$50000,_24CblLgth[[#This Row],[24 Cable Length]]))</f>
        <v/>
      </c>
      <c r="W40" s="141"/>
      <c r="Z40" s="60" t="str">
        <f>IF(_24Dev[[#This Row],[24 Device]]="","",COUNTIF('24v Power'!$B$14:$EZ$50000,_24Dev[[#This Row],[24 Device]]))</f>
        <v/>
      </c>
      <c r="AA40" s="141"/>
      <c r="AB40" s="82" t="s">
        <v>506</v>
      </c>
      <c r="AC40" s="82">
        <v>18864</v>
      </c>
      <c r="AD40" s="60">
        <f>IF(_ENetCblLgth[[#This Row],[ENet Cable Length]]="","",COUNTIF(Ethernet!$C$14:$EZ$50000,_ENetCblLgth[[#This Row],[ENet Cable Length]]))</f>
        <v>0</v>
      </c>
      <c r="AE40" s="81"/>
      <c r="AF40" s="91"/>
      <c r="AG40" s="141"/>
      <c r="AH40" s="82" t="s">
        <v>600</v>
      </c>
      <c r="AI40" s="82">
        <v>18702</v>
      </c>
      <c r="AJ40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0" s="141"/>
      <c r="AN40" s="60" t="str">
        <f>IF(_SafeIODev[[#This Row],[Safe IO Device]]="","",COUNTIF('Safety IO'!$C$12:$EZ$50000,_SafeIODev[[#This Row],[Safe IO Device]]))</f>
        <v/>
      </c>
      <c r="AO40" s="141"/>
      <c r="AR40" s="60" t="str">
        <f>IF(_IODev[[#This Row],[IO Device]]="","",COUNTIF('Standard IO'!$C$12:$EZ$49995,_IODev[[#This Row],[IO Device]]))</f>
        <v/>
      </c>
    </row>
    <row r="41" spans="1:44" x14ac:dyDescent="0.3">
      <c r="A41" s="90"/>
      <c r="C41" s="141"/>
      <c r="D41" s="82" t="s">
        <v>362</v>
      </c>
      <c r="E41" s="82" t="s">
        <v>363</v>
      </c>
      <c r="F41" s="60">
        <f>IF(_480CblLgth[[#This Row],[480 Cable Length]]="","",COUNTIF('480v Power'!$D$14:$EZ$50000,_480CblLgth[[#This Row],[480 Cable Length]]))</f>
        <v>0</v>
      </c>
      <c r="G41" s="141"/>
      <c r="J41" s="60" t="str">
        <f>IF(_480Dev[[#This Row],[480 Device]]="","",COUNTIF('480v Power'!$D$14:$EZ$50000,_480Dev[[#This Row],[480 Device]]))</f>
        <v/>
      </c>
      <c r="K41" s="141"/>
      <c r="N41" s="60" t="str">
        <f>IF(_120CblLgth[[#This Row],[120 Cable Length]]="","",COUNTIF('120v Power'!$B$14:$EZ$50000,_120CblLgth[[#This Row],[120 Cable Length]]))</f>
        <v/>
      </c>
      <c r="O41" s="81"/>
      <c r="R41" s="60" t="str">
        <f>IF(_120Dev[[#This Row],[120 Device]]="","",COUNTIF('120v Power'!$B$14:$EZ$50000,_120Dev[[#This Row],[120 Device]]))</f>
        <v/>
      </c>
      <c r="S41" s="141"/>
      <c r="V41" s="60" t="str">
        <f>IF(_24CblLgth[[#This Row],[24 Cable Length]]="","",COUNTIF('24v Power'!$B$14:$EZ$50000,_24CblLgth[[#This Row],[24 Cable Length]]))</f>
        <v/>
      </c>
      <c r="W41" s="141"/>
      <c r="Z41" s="60" t="str">
        <f>IF(_24Dev[[#This Row],[24 Device]]="","",COUNTIF('24v Power'!$B$14:$EZ$50000,_24Dev[[#This Row],[24 Device]]))</f>
        <v/>
      </c>
      <c r="AA41" s="141"/>
      <c r="AB41" s="82" t="s">
        <v>507</v>
      </c>
      <c r="AC41" s="82">
        <v>18865</v>
      </c>
      <c r="AD41" s="60">
        <f>IF(_ENetCblLgth[[#This Row],[ENet Cable Length]]="","",COUNTIF(Ethernet!$C$14:$EZ$50000,_ENetCblLgth[[#This Row],[ENet Cable Length]]))</f>
        <v>0</v>
      </c>
      <c r="AE41" s="81"/>
      <c r="AF41" s="91"/>
      <c r="AG41" s="141"/>
      <c r="AH41" s="82" t="s">
        <v>601</v>
      </c>
      <c r="AI41" s="82">
        <v>18703</v>
      </c>
      <c r="AJ41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1" s="141"/>
      <c r="AN41" s="60" t="str">
        <f>IF(_SafeIODev[[#This Row],[Safe IO Device]]="","",COUNTIF('Safety IO'!$C$12:$EZ$50000,_SafeIODev[[#This Row],[Safe IO Device]]))</f>
        <v/>
      </c>
      <c r="AO41" s="141"/>
      <c r="AR41" s="60" t="str">
        <f>IF(_IODev[[#This Row],[IO Device]]="","",COUNTIF('Standard IO'!$C$12:$EZ$49995,_IODev[[#This Row],[IO Device]]))</f>
        <v/>
      </c>
    </row>
    <row r="42" spans="1:44" x14ac:dyDescent="0.3">
      <c r="A42" s="90"/>
      <c r="C42" s="141"/>
      <c r="D42" s="82" t="s">
        <v>364</v>
      </c>
      <c r="E42" s="82" t="s">
        <v>363</v>
      </c>
      <c r="F42" s="60">
        <f>IF(_480CblLgth[[#This Row],[480 Cable Length]]="","",COUNTIF('480v Power'!$D$14:$EZ$50000,_480CblLgth[[#This Row],[480 Cable Length]]))</f>
        <v>0</v>
      </c>
      <c r="G42" s="141"/>
      <c r="J42" s="60" t="str">
        <f>IF(_480Dev[[#This Row],[480 Device]]="","",COUNTIF('480v Power'!$D$14:$EZ$50000,_480Dev[[#This Row],[480 Device]]))</f>
        <v/>
      </c>
      <c r="K42" s="141"/>
      <c r="N42" s="60" t="str">
        <f>IF(_120CblLgth[[#This Row],[120 Cable Length]]="","",COUNTIF('120v Power'!$B$14:$EZ$50000,_120CblLgth[[#This Row],[120 Cable Length]]))</f>
        <v/>
      </c>
      <c r="O42" s="81"/>
      <c r="R42" s="60" t="str">
        <f>IF(_120Dev[[#This Row],[120 Device]]="","",COUNTIF('120v Power'!$B$14:$EZ$50000,_120Dev[[#This Row],[120 Device]]))</f>
        <v/>
      </c>
      <c r="S42" s="141"/>
      <c r="V42" s="60" t="str">
        <f>IF(_24CblLgth[[#This Row],[24 Cable Length]]="","",COUNTIF('24v Power'!$B$14:$EZ$50000,_24CblLgth[[#This Row],[24 Cable Length]]))</f>
        <v/>
      </c>
      <c r="W42" s="141"/>
      <c r="Z42" s="60" t="str">
        <f>IF(_24Dev[[#This Row],[24 Device]]="","",COUNTIF('24v Power'!$B$14:$EZ$50000,_24Dev[[#This Row],[24 Device]]))</f>
        <v/>
      </c>
      <c r="AA42" s="141"/>
      <c r="AB42" s="82" t="s">
        <v>508</v>
      </c>
      <c r="AC42" s="82">
        <v>18866</v>
      </c>
      <c r="AD42" s="60">
        <f>IF(_ENetCblLgth[[#This Row],[ENet Cable Length]]="","",COUNTIF(Ethernet!$C$14:$EZ$50000,_ENetCblLgth[[#This Row],[ENet Cable Length]]))</f>
        <v>0</v>
      </c>
      <c r="AE42" s="81"/>
      <c r="AF42" s="91"/>
      <c r="AG42" s="141"/>
      <c r="AH42" s="82" t="s">
        <v>602</v>
      </c>
      <c r="AI42" s="82">
        <v>18704</v>
      </c>
      <c r="AJ42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2" s="141"/>
      <c r="AN42" s="60" t="str">
        <f>IF(_SafeIODev[[#This Row],[Safe IO Device]]="","",COUNTIF('Safety IO'!$C$12:$EZ$50000,_SafeIODev[[#This Row],[Safe IO Device]]))</f>
        <v/>
      </c>
      <c r="AO42" s="141"/>
      <c r="AR42" s="60" t="str">
        <f>IF(_IODev[[#This Row],[IO Device]]="","",COUNTIF('Standard IO'!$C$12:$EZ$49995,_IODev[[#This Row],[IO Device]]))</f>
        <v/>
      </c>
    </row>
    <row r="43" spans="1:44" x14ac:dyDescent="0.3">
      <c r="A43" s="90"/>
      <c r="C43" s="141"/>
      <c r="D43" s="82" t="s">
        <v>365</v>
      </c>
      <c r="E43" s="82">
        <v>19601</v>
      </c>
      <c r="F43" s="60">
        <f>IF(_480CblLgth[[#This Row],[480 Cable Length]]="","",COUNTIF('480v Power'!$D$14:$EZ$50000,_480CblLgth[[#This Row],[480 Cable Length]]))</f>
        <v>0</v>
      </c>
      <c r="G43" s="141"/>
      <c r="J43" s="60" t="str">
        <f>IF(_480Dev[[#This Row],[480 Device]]="","",COUNTIF('480v Power'!$D$14:$EZ$50000,_480Dev[[#This Row],[480 Device]]))</f>
        <v/>
      </c>
      <c r="K43" s="141"/>
      <c r="N43" s="60" t="str">
        <f>IF(_120CblLgth[[#This Row],[120 Cable Length]]="","",COUNTIF('120v Power'!$B$14:$EZ$50000,_120CblLgth[[#This Row],[120 Cable Length]]))</f>
        <v/>
      </c>
      <c r="O43" s="81"/>
      <c r="R43" s="60" t="str">
        <f>IF(_120Dev[[#This Row],[120 Device]]="","",COUNTIF('120v Power'!$B$14:$EZ$50000,_120Dev[[#This Row],[120 Device]]))</f>
        <v/>
      </c>
      <c r="S43" s="141"/>
      <c r="V43" s="60" t="str">
        <f>IF(_24CblLgth[[#This Row],[24 Cable Length]]="","",COUNTIF('24v Power'!$B$14:$EZ$50000,_24CblLgth[[#This Row],[24 Cable Length]]))</f>
        <v/>
      </c>
      <c r="W43" s="141"/>
      <c r="Z43" s="60" t="str">
        <f>IF(_24Dev[[#This Row],[24 Device]]="","",COUNTIF('24v Power'!$B$14:$EZ$50000,_24Dev[[#This Row],[24 Device]]))</f>
        <v/>
      </c>
      <c r="AA43" s="141"/>
      <c r="AB43" s="82" t="s">
        <v>509</v>
      </c>
      <c r="AC43" s="82">
        <v>18867</v>
      </c>
      <c r="AD43" s="60">
        <f>IF(_ENetCblLgth[[#This Row],[ENet Cable Length]]="","",COUNTIF(Ethernet!$C$14:$EZ$50000,_ENetCblLgth[[#This Row],[ENet Cable Length]]))</f>
        <v>0</v>
      </c>
      <c r="AE43" s="81"/>
      <c r="AF43" s="91"/>
      <c r="AG43" s="141"/>
      <c r="AH43" s="82" t="s">
        <v>603</v>
      </c>
      <c r="AI43" s="82">
        <v>18705</v>
      </c>
      <c r="AJ43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3" s="141"/>
      <c r="AN43" s="60" t="str">
        <f>IF(_SafeIODev[[#This Row],[Safe IO Device]]="","",COUNTIF('Safety IO'!$C$12:$EZ$50000,_SafeIODev[[#This Row],[Safe IO Device]]))</f>
        <v/>
      </c>
      <c r="AO43" s="141"/>
      <c r="AR43" s="60" t="str">
        <f>IF(_IODev[[#This Row],[IO Device]]="","",COUNTIF('Standard IO'!$C$12:$EZ$49995,_IODev[[#This Row],[IO Device]]))</f>
        <v/>
      </c>
    </row>
    <row r="44" spans="1:44" x14ac:dyDescent="0.3">
      <c r="A44" s="90"/>
      <c r="C44" s="141"/>
      <c r="D44" s="82" t="s">
        <v>366</v>
      </c>
      <c r="E44" s="82">
        <v>19605</v>
      </c>
      <c r="F44" s="60">
        <f>IF(_480CblLgth[[#This Row],[480 Cable Length]]="","",COUNTIF('480v Power'!$D$14:$EZ$50000,_480CblLgth[[#This Row],[480 Cable Length]]))</f>
        <v>0</v>
      </c>
      <c r="G44" s="141"/>
      <c r="J44" s="60" t="str">
        <f>IF(_480Dev[[#This Row],[480 Device]]="","",COUNTIF('480v Power'!$D$14:$EZ$50000,_480Dev[[#This Row],[480 Device]]))</f>
        <v/>
      </c>
      <c r="K44" s="141"/>
      <c r="N44" s="60" t="str">
        <f>IF(_120CblLgth[[#This Row],[120 Cable Length]]="","",COUNTIF('120v Power'!$B$14:$EZ$50000,_120CblLgth[[#This Row],[120 Cable Length]]))</f>
        <v/>
      </c>
      <c r="O44" s="81"/>
      <c r="R44" s="60" t="str">
        <f>IF(_120Dev[[#This Row],[120 Device]]="","",COUNTIF('120v Power'!$B$14:$EZ$50000,_120Dev[[#This Row],[120 Device]]))</f>
        <v/>
      </c>
      <c r="S44" s="141"/>
      <c r="V44" s="60" t="str">
        <f>IF(_24CblLgth[[#This Row],[24 Cable Length]]="","",COUNTIF('24v Power'!$B$14:$EZ$50000,_24CblLgth[[#This Row],[24 Cable Length]]))</f>
        <v/>
      </c>
      <c r="W44" s="141"/>
      <c r="Z44" s="60" t="str">
        <f>IF(_24Dev[[#This Row],[24 Device]]="","",COUNTIF('24v Power'!$B$14:$EZ$50000,_24Dev[[#This Row],[24 Device]]))</f>
        <v/>
      </c>
      <c r="AA44" s="141"/>
      <c r="AB44" s="82" t="s">
        <v>510</v>
      </c>
      <c r="AC44" s="82">
        <v>18868</v>
      </c>
      <c r="AD44" s="60">
        <f>IF(_ENetCblLgth[[#This Row],[ENet Cable Length]]="","",COUNTIF(Ethernet!$C$14:$EZ$50000,_ENetCblLgth[[#This Row],[ENet Cable Length]]))</f>
        <v>0</v>
      </c>
      <c r="AE44" s="81"/>
      <c r="AF44" s="91"/>
      <c r="AG44" s="141"/>
      <c r="AH44" s="82" t="s">
        <v>604</v>
      </c>
      <c r="AI44" s="82">
        <v>18706</v>
      </c>
      <c r="AJ44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4" s="141"/>
      <c r="AN44" s="60" t="str">
        <f>IF(_SafeIODev[[#This Row],[Safe IO Device]]="","",COUNTIF('Safety IO'!$C$12:$EZ$50000,_SafeIODev[[#This Row],[Safe IO Device]]))</f>
        <v/>
      </c>
      <c r="AO44" s="141"/>
      <c r="AR44" s="60" t="str">
        <f>IF(_IODev[[#This Row],[IO Device]]="","",COUNTIF('Standard IO'!$C$12:$EZ$49995,_IODev[[#This Row],[IO Device]]))</f>
        <v/>
      </c>
    </row>
    <row r="45" spans="1:44" x14ac:dyDescent="0.3">
      <c r="A45" s="90"/>
      <c r="C45" s="141"/>
      <c r="D45" s="82" t="s">
        <v>367</v>
      </c>
      <c r="E45" s="82">
        <v>19607</v>
      </c>
      <c r="F45" s="60">
        <f>IF(_480CblLgth[[#This Row],[480 Cable Length]]="","",COUNTIF('480v Power'!$D$14:$EZ$50000,_480CblLgth[[#This Row],[480 Cable Length]]))</f>
        <v>0</v>
      </c>
      <c r="G45" s="141"/>
      <c r="J45" s="60" t="str">
        <f>IF(_480Dev[[#This Row],[480 Device]]="","",COUNTIF('480v Power'!$D$14:$EZ$50000,_480Dev[[#This Row],[480 Device]]))</f>
        <v/>
      </c>
      <c r="K45" s="141"/>
      <c r="N45" s="60" t="str">
        <f>IF(_120CblLgth[[#This Row],[120 Cable Length]]="","",COUNTIF('120v Power'!$B$14:$EZ$50000,_120CblLgth[[#This Row],[120 Cable Length]]))</f>
        <v/>
      </c>
      <c r="O45" s="81"/>
      <c r="R45" s="60" t="str">
        <f>IF(_120Dev[[#This Row],[120 Device]]="","",COUNTIF('120v Power'!$B$14:$EZ$50000,_120Dev[[#This Row],[120 Device]]))</f>
        <v/>
      </c>
      <c r="S45" s="141"/>
      <c r="V45" s="60" t="str">
        <f>IF(_24CblLgth[[#This Row],[24 Cable Length]]="","",COUNTIF('24v Power'!$B$14:$EZ$50000,_24CblLgth[[#This Row],[24 Cable Length]]))</f>
        <v/>
      </c>
      <c r="W45" s="141"/>
      <c r="Z45" s="60" t="str">
        <f>IF(_24Dev[[#This Row],[24 Device]]="","",COUNTIF('24v Power'!$B$14:$EZ$50000,_24Dev[[#This Row],[24 Device]]))</f>
        <v/>
      </c>
      <c r="AA45" s="141"/>
      <c r="AB45" s="82" t="s">
        <v>511</v>
      </c>
      <c r="AC45" s="82">
        <v>18869</v>
      </c>
      <c r="AD45" s="60">
        <f>IF(_ENetCblLgth[[#This Row],[ENet Cable Length]]="","",COUNTIF(Ethernet!$C$14:$EZ$50000,_ENetCblLgth[[#This Row],[ENet Cable Length]]))</f>
        <v>0</v>
      </c>
      <c r="AE45" s="81"/>
      <c r="AF45" s="91"/>
      <c r="AG45" s="141"/>
      <c r="AH45" s="82" t="s">
        <v>605</v>
      </c>
      <c r="AI45" s="82">
        <v>18707</v>
      </c>
      <c r="AJ45" s="60">
        <f>IF(_IOCblLgth[[#This Row],[IO Cable Length]]="","",COUNTIF(('Safety IO'!$C$12:$EZ$50000),_IOCblLgth[[#This Row],[IO Cable Length]])+COUNTIF(('Standard IO'!$C$12:$EZ$49995),_IOCblLgth[[#This Row],[IO Cable Length]]))</f>
        <v>0</v>
      </c>
      <c r="AK45" s="141"/>
      <c r="AN45" s="60" t="str">
        <f>IF(_SafeIODev[[#This Row],[Safe IO Device]]="","",COUNTIF('Safety IO'!$C$12:$EZ$50000,_SafeIODev[[#This Row],[Safe IO Device]]))</f>
        <v/>
      </c>
      <c r="AO45" s="141"/>
      <c r="AR45" s="60" t="str">
        <f>IF(_IODev[[#This Row],[IO Device]]="","",COUNTIF('Standard IO'!$C$12:$EZ$49995,_IODev[[#This Row],[IO Device]]))</f>
        <v/>
      </c>
    </row>
    <row r="46" spans="1:44" x14ac:dyDescent="0.3">
      <c r="A46" s="90"/>
      <c r="C46" s="141"/>
      <c r="D46" s="82" t="s">
        <v>368</v>
      </c>
      <c r="E46" s="82">
        <v>19608</v>
      </c>
      <c r="F46" s="60">
        <f>IF(_480CblLgth[[#This Row],[480 Cable Length]]="","",COUNTIF('480v Power'!$D$14:$EZ$50000,_480CblLgth[[#This Row],[480 Cable Length]]))</f>
        <v>0</v>
      </c>
      <c r="G46" s="141"/>
      <c r="J46" s="60" t="str">
        <f>IF(_480Dev[[#This Row],[480 Device]]="","",COUNTIF('480v Power'!$D$14:$EZ$50000,_480Dev[[#This Row],[480 Device]]))</f>
        <v/>
      </c>
      <c r="K46" s="141"/>
      <c r="N46" s="60" t="str">
        <f>IF(_120CblLgth[[#This Row],[120 Cable Length]]="","",COUNTIF('120v Power'!$B$14:$EZ$50000,_120CblLgth[[#This Row],[120 Cable Length]]))</f>
        <v/>
      </c>
      <c r="O46" s="81"/>
      <c r="R46" s="60" t="str">
        <f>IF(_120Dev[[#This Row],[120 Device]]="","",COUNTIF('120v Power'!$B$14:$EZ$50000,_120Dev[[#This Row],[120 Device]]))</f>
        <v/>
      </c>
      <c r="S46" s="141"/>
      <c r="V46" s="60" t="str">
        <f>IF(_24CblLgth[[#This Row],[24 Cable Length]]="","",COUNTIF('24v Power'!$B$14:$EZ$50000,_24CblLgth[[#This Row],[24 Cable Length]]))</f>
        <v/>
      </c>
      <c r="W46" s="141"/>
      <c r="Z46" s="60" t="str">
        <f>IF(_24Dev[[#This Row],[24 Device]]="","",COUNTIF('24v Power'!$B$14:$EZ$50000,_24Dev[[#This Row],[24 Device]]))</f>
        <v/>
      </c>
      <c r="AA46" s="141"/>
      <c r="AB46" s="82" t="s">
        <v>512</v>
      </c>
      <c r="AC46" s="82">
        <v>18870</v>
      </c>
      <c r="AD46" s="60">
        <f>IF(_ENetCblLgth[[#This Row],[ENet Cable Length]]="","",COUNTIF(Ethernet!$C$14:$EZ$50000,_ENetCblLgth[[#This Row],[ENet Cable Length]]))</f>
        <v>0</v>
      </c>
      <c r="AE46" s="81"/>
      <c r="AF46" s="91"/>
      <c r="AG46" s="141"/>
      <c r="AJ4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46" s="141"/>
      <c r="AN46" s="60" t="str">
        <f>IF(_SafeIODev[[#This Row],[Safe IO Device]]="","",COUNTIF('Safety IO'!$C$12:$EZ$50000,_SafeIODev[[#This Row],[Safe IO Device]]))</f>
        <v/>
      </c>
      <c r="AO46" s="141"/>
      <c r="AR46" s="60" t="str">
        <f>IF(_IODev[[#This Row],[IO Device]]="","",COUNTIF('Standard IO'!$C$12:$EZ$49995,_IODev[[#This Row],[IO Device]]))</f>
        <v/>
      </c>
    </row>
    <row r="47" spans="1:44" x14ac:dyDescent="0.3">
      <c r="A47" s="90"/>
      <c r="C47" s="141"/>
      <c r="D47" s="82" t="s">
        <v>369</v>
      </c>
      <c r="E47" s="82">
        <v>19650</v>
      </c>
      <c r="F47" s="60">
        <f>IF(_480CblLgth[[#This Row],[480 Cable Length]]="","",COUNTIF('480v Power'!$D$14:$EZ$50000,_480CblLgth[[#This Row],[480 Cable Length]]))</f>
        <v>0</v>
      </c>
      <c r="G47" s="141"/>
      <c r="J47" s="60" t="str">
        <f>IF(_480Dev[[#This Row],[480 Device]]="","",COUNTIF('480v Power'!$D$14:$EZ$50000,_480Dev[[#This Row],[480 Device]]))</f>
        <v/>
      </c>
      <c r="K47" s="141"/>
      <c r="N47" s="60" t="str">
        <f>IF(_120CblLgth[[#This Row],[120 Cable Length]]="","",COUNTIF('120v Power'!$B$14:$EZ$50000,_120CblLgth[[#This Row],[120 Cable Length]]))</f>
        <v/>
      </c>
      <c r="O47" s="81"/>
      <c r="R47" s="60" t="str">
        <f>IF(_120Dev[[#This Row],[120 Device]]="","",COUNTIF('120v Power'!$B$14:$EZ$50000,_120Dev[[#This Row],[120 Device]]))</f>
        <v/>
      </c>
      <c r="S47" s="141"/>
      <c r="V47" s="60" t="str">
        <f>IF(_24CblLgth[[#This Row],[24 Cable Length]]="","",COUNTIF('24v Power'!$B$14:$EZ$50000,_24CblLgth[[#This Row],[24 Cable Length]]))</f>
        <v/>
      </c>
      <c r="W47" s="141"/>
      <c r="Z47" s="60" t="str">
        <f>IF(_24Dev[[#This Row],[24 Device]]="","",COUNTIF('24v Power'!$B$14:$EZ$50000,_24Dev[[#This Row],[24 Device]]))</f>
        <v/>
      </c>
      <c r="AA47" s="141"/>
      <c r="AB47" s="82" t="s">
        <v>513</v>
      </c>
      <c r="AC47" s="82">
        <v>18871</v>
      </c>
      <c r="AD47" s="60">
        <f>IF(_ENetCblLgth[[#This Row],[ENet Cable Length]]="","",COUNTIF(Ethernet!$C$14:$EZ$50000,_ENetCblLgth[[#This Row],[ENet Cable Length]]))</f>
        <v>0</v>
      </c>
      <c r="AE47" s="81"/>
      <c r="AF47" s="91"/>
      <c r="AG47" s="141"/>
      <c r="AJ4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47" s="141"/>
      <c r="AN47" s="60" t="str">
        <f>IF(_SafeIODev[[#This Row],[Safe IO Device]]="","",COUNTIF('Safety IO'!$C$12:$EZ$50000,_SafeIODev[[#This Row],[Safe IO Device]]))</f>
        <v/>
      </c>
      <c r="AO47" s="141"/>
      <c r="AR47" s="60" t="str">
        <f>IF(_IODev[[#This Row],[IO Device]]="","",COUNTIF('Standard IO'!$C$12:$EZ$49995,_IODev[[#This Row],[IO Device]]))</f>
        <v/>
      </c>
    </row>
    <row r="48" spans="1:44" x14ac:dyDescent="0.3">
      <c r="A48" s="90"/>
      <c r="C48" s="141"/>
      <c r="D48" s="82" t="s">
        <v>370</v>
      </c>
      <c r="E48" s="82">
        <v>19651</v>
      </c>
      <c r="F48" s="60">
        <f>IF(_480CblLgth[[#This Row],[480 Cable Length]]="","",COUNTIF('480v Power'!$D$14:$EZ$50000,_480CblLgth[[#This Row],[480 Cable Length]]))</f>
        <v>0</v>
      </c>
      <c r="G48" s="141"/>
      <c r="J48" s="60" t="str">
        <f>IF(_480Dev[[#This Row],[480 Device]]="","",COUNTIF('480v Power'!$D$14:$EZ$50000,_480Dev[[#This Row],[480 Device]]))</f>
        <v/>
      </c>
      <c r="K48" s="141"/>
      <c r="N48" s="60" t="str">
        <f>IF(_120CblLgth[[#This Row],[120 Cable Length]]="","",COUNTIF('120v Power'!$B$14:$EZ$50000,_120CblLgth[[#This Row],[120 Cable Length]]))</f>
        <v/>
      </c>
      <c r="O48" s="81"/>
      <c r="R48" s="60" t="str">
        <f>IF(_120Dev[[#This Row],[120 Device]]="","",COUNTIF('120v Power'!$B$14:$EZ$50000,_120Dev[[#This Row],[120 Device]]))</f>
        <v/>
      </c>
      <c r="S48" s="141"/>
      <c r="V48" s="60" t="str">
        <f>IF(_24CblLgth[[#This Row],[24 Cable Length]]="","",COUNTIF('24v Power'!$B$14:$EZ$50000,_24CblLgth[[#This Row],[24 Cable Length]]))</f>
        <v/>
      </c>
      <c r="W48" s="141"/>
      <c r="Z48" s="60" t="str">
        <f>IF(_24Dev[[#This Row],[24 Device]]="","",COUNTIF('24v Power'!$B$14:$EZ$50000,_24Dev[[#This Row],[24 Device]]))</f>
        <v/>
      </c>
      <c r="AA48" s="141"/>
      <c r="AB48" s="82" t="s">
        <v>514</v>
      </c>
      <c r="AC48" s="82">
        <v>18872</v>
      </c>
      <c r="AD48" s="60">
        <f>IF(_ENetCblLgth[[#This Row],[ENet Cable Length]]="","",COUNTIF(Ethernet!$C$14:$EZ$50000,_ENetCblLgth[[#This Row],[ENet Cable Length]]))</f>
        <v>0</v>
      </c>
      <c r="AE48" s="81"/>
      <c r="AF48" s="91"/>
      <c r="AG48" s="141"/>
      <c r="AJ4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48" s="141"/>
      <c r="AN48" s="60" t="str">
        <f>IF(_SafeIODev[[#This Row],[Safe IO Device]]="","",COUNTIF('Safety IO'!$C$12:$EZ$50000,_SafeIODev[[#This Row],[Safe IO Device]]))</f>
        <v/>
      </c>
      <c r="AO48" s="141"/>
      <c r="AR48" s="60" t="str">
        <f>IF(_IODev[[#This Row],[IO Device]]="","",COUNTIF('Standard IO'!$C$12:$EZ$49995,_IODev[[#This Row],[IO Device]]))</f>
        <v/>
      </c>
    </row>
    <row r="49" spans="1:44" x14ac:dyDescent="0.3">
      <c r="A49" s="90"/>
      <c r="C49" s="141"/>
      <c r="D49" s="82" t="s">
        <v>371</v>
      </c>
      <c r="E49" s="82">
        <v>19660</v>
      </c>
      <c r="F49" s="60">
        <f>IF(_480CblLgth[[#This Row],[480 Cable Length]]="","",COUNTIF('480v Power'!$D$14:$EZ$50000,_480CblLgth[[#This Row],[480 Cable Length]]))</f>
        <v>0</v>
      </c>
      <c r="G49" s="141"/>
      <c r="J49" s="60" t="str">
        <f>IF(_480Dev[[#This Row],[480 Device]]="","",COUNTIF('480v Power'!$D$14:$EZ$50000,_480Dev[[#This Row],[480 Device]]))</f>
        <v/>
      </c>
      <c r="K49" s="141"/>
      <c r="N49" s="60" t="str">
        <f>IF(_120CblLgth[[#This Row],[120 Cable Length]]="","",COUNTIF('120v Power'!$B$14:$EZ$50000,_120CblLgth[[#This Row],[120 Cable Length]]))</f>
        <v/>
      </c>
      <c r="O49" s="81"/>
      <c r="R49" s="60" t="str">
        <f>IF(_120Dev[[#This Row],[120 Device]]="","",COUNTIF('120v Power'!$B$14:$EZ$50000,_120Dev[[#This Row],[120 Device]]))</f>
        <v/>
      </c>
      <c r="S49" s="141"/>
      <c r="V49" s="60" t="str">
        <f>IF(_24CblLgth[[#This Row],[24 Cable Length]]="","",COUNTIF('24v Power'!$B$14:$EZ$50000,_24CblLgth[[#This Row],[24 Cable Length]]))</f>
        <v/>
      </c>
      <c r="W49" s="141"/>
      <c r="Z49" s="60" t="str">
        <f>IF(_24Dev[[#This Row],[24 Device]]="","",COUNTIF('24v Power'!$B$14:$EZ$50000,_24Dev[[#This Row],[24 Device]]))</f>
        <v/>
      </c>
      <c r="AA49" s="141"/>
      <c r="AB49" s="82" t="s">
        <v>515</v>
      </c>
      <c r="AC49" s="82">
        <v>18873</v>
      </c>
      <c r="AD49" s="60">
        <f>IF(_ENetCblLgth[[#This Row],[ENet Cable Length]]="","",COUNTIF(Ethernet!$C$14:$EZ$50000,_ENetCblLgth[[#This Row],[ENet Cable Length]]))</f>
        <v>0</v>
      </c>
      <c r="AE49" s="81"/>
      <c r="AF49" s="91"/>
      <c r="AG49" s="141"/>
      <c r="AJ4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49" s="141"/>
      <c r="AN49" s="60" t="str">
        <f>IF(_SafeIODev[[#This Row],[Safe IO Device]]="","",COUNTIF('Safety IO'!$C$12:$EZ$50000,_SafeIODev[[#This Row],[Safe IO Device]]))</f>
        <v/>
      </c>
      <c r="AO49" s="141"/>
      <c r="AR49" s="60" t="str">
        <f>IF(_IODev[[#This Row],[IO Device]]="","",COUNTIF('Standard IO'!$C$12:$EZ$49995,_IODev[[#This Row],[IO Device]]))</f>
        <v/>
      </c>
    </row>
    <row r="50" spans="1:44" x14ac:dyDescent="0.3">
      <c r="A50" s="90"/>
      <c r="C50" s="141"/>
      <c r="F50" s="60" t="str">
        <f>IF(_480CblLgth[[#This Row],[480 Cable Length]]="","",COUNTIF('480v Power'!$D$14:$EZ$50000,_480CblLgth[[#This Row],[480 Cable Length]]))</f>
        <v/>
      </c>
      <c r="G50" s="141"/>
      <c r="J50" s="60" t="str">
        <f>IF(_480Dev[[#This Row],[480 Device]]="","",COUNTIF('480v Power'!$D$14:$EZ$50000,_480Dev[[#This Row],[480 Device]]))</f>
        <v/>
      </c>
      <c r="K50" s="141"/>
      <c r="N50" s="60" t="str">
        <f>IF(_120CblLgth[[#This Row],[120 Cable Length]]="","",COUNTIF('120v Power'!$B$14:$EZ$50000,_120CblLgth[[#This Row],[120 Cable Length]]))</f>
        <v/>
      </c>
      <c r="O50" s="81"/>
      <c r="R50" s="60" t="str">
        <f>IF(_120Dev[[#This Row],[120 Device]]="","",COUNTIF('120v Power'!$B$14:$EZ$50000,_120Dev[[#This Row],[120 Device]]))</f>
        <v/>
      </c>
      <c r="S50" s="141"/>
      <c r="V50" s="60" t="str">
        <f>IF(_24CblLgth[[#This Row],[24 Cable Length]]="","",COUNTIF('24v Power'!$B$14:$EZ$50000,_24CblLgth[[#This Row],[24 Cable Length]]))</f>
        <v/>
      </c>
      <c r="W50" s="141"/>
      <c r="Z50" s="60" t="str">
        <f>IF(_24Dev[[#This Row],[24 Device]]="","",COUNTIF('24v Power'!$B$14:$EZ$50000,_24Dev[[#This Row],[24 Device]]))</f>
        <v/>
      </c>
      <c r="AA50" s="141"/>
      <c r="AB50" s="82" t="s">
        <v>516</v>
      </c>
      <c r="AC50" s="82">
        <v>18874</v>
      </c>
      <c r="AD50" s="60">
        <f>IF(_ENetCblLgth[[#This Row],[ENet Cable Length]]="","",COUNTIF(Ethernet!$C$14:$EZ$50000,_ENetCblLgth[[#This Row],[ENet Cable Length]]))</f>
        <v>0</v>
      </c>
      <c r="AE50" s="81"/>
      <c r="AF50" s="91"/>
      <c r="AG50" s="141"/>
      <c r="AJ5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0" s="141"/>
      <c r="AN50" s="60" t="str">
        <f>IF(_SafeIODev[[#This Row],[Safe IO Device]]="","",COUNTIF('Safety IO'!$C$12:$EZ$50000,_SafeIODev[[#This Row],[Safe IO Device]]))</f>
        <v/>
      </c>
      <c r="AO50" s="141"/>
      <c r="AR50" s="60" t="str">
        <f>IF(_IODev[[#This Row],[IO Device]]="","",COUNTIF('Standard IO'!$C$12:$EZ$49995,_IODev[[#This Row],[IO Device]]))</f>
        <v/>
      </c>
    </row>
    <row r="51" spans="1:44" x14ac:dyDescent="0.3">
      <c r="A51" s="90"/>
      <c r="C51" s="141"/>
      <c r="F51" s="60" t="str">
        <f>IF(_480CblLgth[[#This Row],[480 Cable Length]]="","",COUNTIF('480v Power'!$D$14:$EZ$50000,_480CblLgth[[#This Row],[480 Cable Length]]))</f>
        <v/>
      </c>
      <c r="G51" s="141"/>
      <c r="J51" s="60" t="str">
        <f>IF(_480Dev[[#This Row],[480 Device]]="","",COUNTIF('480v Power'!$D$14:$EZ$50000,_480Dev[[#This Row],[480 Device]]))</f>
        <v/>
      </c>
      <c r="K51" s="141"/>
      <c r="N51" s="60" t="str">
        <f>IF(_120CblLgth[[#This Row],[120 Cable Length]]="","",COUNTIF('120v Power'!$B$14:$EZ$50000,_120CblLgth[[#This Row],[120 Cable Length]]))</f>
        <v/>
      </c>
      <c r="O51" s="81"/>
      <c r="R51" s="60" t="str">
        <f>IF(_120Dev[[#This Row],[120 Device]]="","",COUNTIF('120v Power'!$B$14:$EZ$50000,_120Dev[[#This Row],[120 Device]]))</f>
        <v/>
      </c>
      <c r="S51" s="141"/>
      <c r="V51" s="60" t="str">
        <f>IF(_24CblLgth[[#This Row],[24 Cable Length]]="","",COUNTIF('24v Power'!$B$14:$EZ$50000,_24CblLgth[[#This Row],[24 Cable Length]]))</f>
        <v/>
      </c>
      <c r="W51" s="141"/>
      <c r="Z51" s="60" t="str">
        <f>IF(_24Dev[[#This Row],[24 Device]]="","",COUNTIF('24v Power'!$B$14:$EZ$50000,_24Dev[[#This Row],[24 Device]]))</f>
        <v/>
      </c>
      <c r="AA51" s="141"/>
      <c r="AB51" s="82" t="s">
        <v>517</v>
      </c>
      <c r="AC51" s="82">
        <v>18875</v>
      </c>
      <c r="AD51" s="60">
        <f>IF(_ENetCblLgth[[#This Row],[ENet Cable Length]]="","",COUNTIF(Ethernet!$C$14:$EZ$50000,_ENetCblLgth[[#This Row],[ENet Cable Length]]))</f>
        <v>0</v>
      </c>
      <c r="AE51" s="81"/>
      <c r="AF51" s="91"/>
      <c r="AG51" s="141"/>
      <c r="AJ5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1" s="141"/>
      <c r="AN51" s="60" t="str">
        <f>IF(_SafeIODev[[#This Row],[Safe IO Device]]="","",COUNTIF('Safety IO'!$C$12:$EZ$50000,_SafeIODev[[#This Row],[Safe IO Device]]))</f>
        <v/>
      </c>
      <c r="AO51" s="141"/>
      <c r="AR51" s="60" t="str">
        <f>IF(_IODev[[#This Row],[IO Device]]="","",COUNTIF('Standard IO'!$C$12:$EZ$49995,_IODev[[#This Row],[IO Device]]))</f>
        <v/>
      </c>
    </row>
    <row r="52" spans="1:44" x14ac:dyDescent="0.3">
      <c r="A52" s="90"/>
      <c r="C52" s="141"/>
      <c r="F52" s="60" t="str">
        <f>IF(_480CblLgth[[#This Row],[480 Cable Length]]="","",COUNTIF('480v Power'!$D$14:$EZ$50000,_480CblLgth[[#This Row],[480 Cable Length]]))</f>
        <v/>
      </c>
      <c r="G52" s="141"/>
      <c r="J52" s="60" t="str">
        <f>IF(_480Dev[[#This Row],[480 Device]]="","",COUNTIF('480v Power'!$D$14:$EZ$50000,_480Dev[[#This Row],[480 Device]]))</f>
        <v/>
      </c>
      <c r="K52" s="141"/>
      <c r="N52" s="60" t="str">
        <f>IF(_120CblLgth[[#This Row],[120 Cable Length]]="","",COUNTIF('120v Power'!$B$14:$EZ$50000,_120CblLgth[[#This Row],[120 Cable Length]]))</f>
        <v/>
      </c>
      <c r="O52" s="81"/>
      <c r="R52" s="60" t="str">
        <f>IF(_120Dev[[#This Row],[120 Device]]="","",COUNTIF('120v Power'!$B$14:$EZ$50000,_120Dev[[#This Row],[120 Device]]))</f>
        <v/>
      </c>
      <c r="S52" s="141"/>
      <c r="V52" s="60" t="str">
        <f>IF(_24CblLgth[[#This Row],[24 Cable Length]]="","",COUNTIF('24v Power'!$B$14:$EZ$50000,_24CblLgth[[#This Row],[24 Cable Length]]))</f>
        <v/>
      </c>
      <c r="W52" s="141"/>
      <c r="Z52" s="60" t="str">
        <f>IF(_24Dev[[#This Row],[24 Device]]="","",COUNTIF('24v Power'!$B$14:$EZ$50000,_24Dev[[#This Row],[24 Device]]))</f>
        <v/>
      </c>
      <c r="AA52" s="141"/>
      <c r="AB52" s="82" t="s">
        <v>518</v>
      </c>
      <c r="AC52" s="82">
        <v>18876</v>
      </c>
      <c r="AD52" s="60">
        <f>IF(_ENetCblLgth[[#This Row],[ENet Cable Length]]="","",COUNTIF(Ethernet!$C$14:$EZ$50000,_ENetCblLgth[[#This Row],[ENet Cable Length]]))</f>
        <v>0</v>
      </c>
      <c r="AE52" s="81"/>
      <c r="AF52" s="91"/>
      <c r="AG52" s="141"/>
      <c r="AJ52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2" s="141"/>
      <c r="AN52" s="60" t="str">
        <f>IF(_SafeIODev[[#This Row],[Safe IO Device]]="","",COUNTIF('Safety IO'!$C$12:$EZ$50000,_SafeIODev[[#This Row],[Safe IO Device]]))</f>
        <v/>
      </c>
      <c r="AO52" s="141"/>
      <c r="AR52" s="60" t="str">
        <f>IF(_IODev[[#This Row],[IO Device]]="","",COUNTIF('Standard IO'!$C$12:$EZ$49995,_IODev[[#This Row],[IO Device]]))</f>
        <v/>
      </c>
    </row>
    <row r="53" spans="1:44" x14ac:dyDescent="0.3">
      <c r="A53" s="90"/>
      <c r="C53" s="141"/>
      <c r="F53" s="60" t="str">
        <f>IF(_480CblLgth[[#This Row],[480 Cable Length]]="","",COUNTIF('480v Power'!$D$14:$EZ$50000,_480CblLgth[[#This Row],[480 Cable Length]]))</f>
        <v/>
      </c>
      <c r="G53" s="141"/>
      <c r="J53" s="60" t="str">
        <f>IF(_480Dev[[#This Row],[480 Device]]="","",COUNTIF('480v Power'!$D$14:$EZ$50000,_480Dev[[#This Row],[480 Device]]))</f>
        <v/>
      </c>
      <c r="K53" s="141"/>
      <c r="N53" s="60" t="str">
        <f>IF(_120CblLgth[[#This Row],[120 Cable Length]]="","",COUNTIF('120v Power'!$B$14:$EZ$50000,_120CblLgth[[#This Row],[120 Cable Length]]))</f>
        <v/>
      </c>
      <c r="O53" s="81"/>
      <c r="R53" s="60" t="str">
        <f>IF(_120Dev[[#This Row],[120 Device]]="","",COUNTIF('120v Power'!$B$14:$EZ$50000,_120Dev[[#This Row],[120 Device]]))</f>
        <v/>
      </c>
      <c r="S53" s="141"/>
      <c r="V53" s="60" t="str">
        <f>IF(_24CblLgth[[#This Row],[24 Cable Length]]="","",COUNTIF('24v Power'!$B$14:$EZ$50000,_24CblLgth[[#This Row],[24 Cable Length]]))</f>
        <v/>
      </c>
      <c r="W53" s="141"/>
      <c r="Z53" s="60" t="str">
        <f>IF(_24Dev[[#This Row],[24 Device]]="","",COUNTIF('24v Power'!$B$14:$EZ$50000,_24Dev[[#This Row],[24 Device]]))</f>
        <v/>
      </c>
      <c r="AA53" s="141"/>
      <c r="AB53" s="82" t="s">
        <v>519</v>
      </c>
      <c r="AC53" s="82">
        <v>18877</v>
      </c>
      <c r="AD53" s="60">
        <f>IF(_ENetCblLgth[[#This Row],[ENet Cable Length]]="","",COUNTIF(Ethernet!$C$14:$EZ$50000,_ENetCblLgth[[#This Row],[ENet Cable Length]]))</f>
        <v>0</v>
      </c>
      <c r="AE53" s="81"/>
      <c r="AF53" s="91"/>
      <c r="AG53" s="141"/>
      <c r="AJ53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3" s="141"/>
      <c r="AN53" s="60" t="str">
        <f>IF(_SafeIODev[[#This Row],[Safe IO Device]]="","",COUNTIF('Safety IO'!$C$12:$EZ$50000,_SafeIODev[[#This Row],[Safe IO Device]]))</f>
        <v/>
      </c>
      <c r="AO53" s="141"/>
      <c r="AR53" s="60" t="str">
        <f>IF(_IODev[[#This Row],[IO Device]]="","",COUNTIF('Standard IO'!$C$12:$EZ$49995,_IODev[[#This Row],[IO Device]]))</f>
        <v/>
      </c>
    </row>
    <row r="54" spans="1:44" x14ac:dyDescent="0.3">
      <c r="A54" s="90"/>
      <c r="C54" s="141"/>
      <c r="F54" s="60" t="str">
        <f>IF(_480CblLgth[[#This Row],[480 Cable Length]]="","",COUNTIF('480v Power'!$D$14:$EZ$50000,_480CblLgth[[#This Row],[480 Cable Length]]))</f>
        <v/>
      </c>
      <c r="G54" s="141"/>
      <c r="J54" s="60" t="str">
        <f>IF(_480Dev[[#This Row],[480 Device]]="","",COUNTIF('480v Power'!$D$14:$EZ$50000,_480Dev[[#This Row],[480 Device]]))</f>
        <v/>
      </c>
      <c r="K54" s="141"/>
      <c r="N54" s="60" t="str">
        <f>IF(_120CblLgth[[#This Row],[120 Cable Length]]="","",COUNTIF('120v Power'!$B$14:$EZ$50000,_120CblLgth[[#This Row],[120 Cable Length]]))</f>
        <v/>
      </c>
      <c r="O54" s="81"/>
      <c r="R54" s="60" t="str">
        <f>IF(_120Dev[[#This Row],[120 Device]]="","",COUNTIF('120v Power'!$B$14:$EZ$50000,_120Dev[[#This Row],[120 Device]]))</f>
        <v/>
      </c>
      <c r="S54" s="141"/>
      <c r="V54" s="60" t="str">
        <f>IF(_24CblLgth[[#This Row],[24 Cable Length]]="","",COUNTIF('24v Power'!$B$14:$EZ$50000,_24CblLgth[[#This Row],[24 Cable Length]]))</f>
        <v/>
      </c>
      <c r="W54" s="141"/>
      <c r="Z54" s="60" t="str">
        <f>IF(_24Dev[[#This Row],[24 Device]]="","",COUNTIF('24v Power'!$B$14:$EZ$50000,_24Dev[[#This Row],[24 Device]]))</f>
        <v/>
      </c>
      <c r="AA54" s="141"/>
      <c r="AB54" s="82" t="s">
        <v>520</v>
      </c>
      <c r="AC54" s="82">
        <v>18878</v>
      </c>
      <c r="AD54" s="60">
        <f>IF(_ENetCblLgth[[#This Row],[ENet Cable Length]]="","",COUNTIF(Ethernet!$C$14:$EZ$50000,_ENetCblLgth[[#This Row],[ENet Cable Length]]))</f>
        <v>0</v>
      </c>
      <c r="AE54" s="81"/>
      <c r="AF54" s="91"/>
      <c r="AG54" s="141"/>
      <c r="AJ54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4" s="141"/>
      <c r="AN54" s="60" t="str">
        <f>IF(_SafeIODev[[#This Row],[Safe IO Device]]="","",COUNTIF('Safety IO'!$C$12:$EZ$50000,_SafeIODev[[#This Row],[Safe IO Device]]))</f>
        <v/>
      </c>
      <c r="AO54" s="141"/>
      <c r="AR54" s="60" t="str">
        <f>IF(_IODev[[#This Row],[IO Device]]="","",COUNTIF('Standard IO'!$C$12:$EZ$49995,_IODev[[#This Row],[IO Device]]))</f>
        <v/>
      </c>
    </row>
    <row r="55" spans="1:44" x14ac:dyDescent="0.3">
      <c r="A55" s="90"/>
      <c r="C55" s="141"/>
      <c r="F55" s="60" t="str">
        <f>IF(_480CblLgth[[#This Row],[480 Cable Length]]="","",COUNTIF('480v Power'!$D$14:$EZ$50000,_480CblLgth[[#This Row],[480 Cable Length]]))</f>
        <v/>
      </c>
      <c r="G55" s="141"/>
      <c r="J55" s="60" t="str">
        <f>IF(_480Dev[[#This Row],[480 Device]]="","",COUNTIF('480v Power'!$D$14:$EZ$50000,_480Dev[[#This Row],[480 Device]]))</f>
        <v/>
      </c>
      <c r="K55" s="141"/>
      <c r="N55" s="60" t="str">
        <f>IF(_120CblLgth[[#This Row],[120 Cable Length]]="","",COUNTIF('120v Power'!$B$14:$EZ$50000,_120CblLgth[[#This Row],[120 Cable Length]]))</f>
        <v/>
      </c>
      <c r="O55" s="81"/>
      <c r="R55" s="60" t="str">
        <f>IF(_120Dev[[#This Row],[120 Device]]="","",COUNTIF('120v Power'!$B$14:$EZ$50000,_120Dev[[#This Row],[120 Device]]))</f>
        <v/>
      </c>
      <c r="S55" s="141"/>
      <c r="V55" s="60" t="str">
        <f>IF(_24CblLgth[[#This Row],[24 Cable Length]]="","",COUNTIF('24v Power'!$B$14:$EZ$50000,_24CblLgth[[#This Row],[24 Cable Length]]))</f>
        <v/>
      </c>
      <c r="W55" s="141"/>
      <c r="Z55" s="60" t="str">
        <f>IF(_24Dev[[#This Row],[24 Device]]="","",COUNTIF('24v Power'!$B$14:$EZ$50000,_24Dev[[#This Row],[24 Device]]))</f>
        <v/>
      </c>
      <c r="AA55" s="141"/>
      <c r="AB55" s="82" t="s">
        <v>521</v>
      </c>
      <c r="AC55" s="82">
        <v>18879</v>
      </c>
      <c r="AD55" s="60">
        <f>IF(_ENetCblLgth[[#This Row],[ENet Cable Length]]="","",COUNTIF(Ethernet!$C$14:$EZ$50000,_ENetCblLgth[[#This Row],[ENet Cable Length]]))</f>
        <v>0</v>
      </c>
      <c r="AE55" s="81"/>
      <c r="AF55" s="91"/>
      <c r="AG55" s="141"/>
      <c r="AJ55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5" s="141"/>
      <c r="AN55" s="60" t="str">
        <f>IF(_SafeIODev[[#This Row],[Safe IO Device]]="","",COUNTIF('Safety IO'!$C$12:$EZ$50000,_SafeIODev[[#This Row],[Safe IO Device]]))</f>
        <v/>
      </c>
      <c r="AO55" s="141"/>
      <c r="AR55" s="60" t="str">
        <f>IF(_IODev[[#This Row],[IO Device]]="","",COUNTIF('Standard IO'!$C$12:$EZ$49995,_IODev[[#This Row],[IO Device]]))</f>
        <v/>
      </c>
    </row>
    <row r="56" spans="1:44" x14ac:dyDescent="0.3">
      <c r="A56" s="90"/>
      <c r="C56" s="141"/>
      <c r="F56" s="60" t="str">
        <f>IF(_480CblLgth[[#This Row],[480 Cable Length]]="","",COUNTIF('480v Power'!$D$14:$EZ$50000,_480CblLgth[[#This Row],[480 Cable Length]]))</f>
        <v/>
      </c>
      <c r="G56" s="141"/>
      <c r="J56" s="60" t="str">
        <f>IF(_480Dev[[#This Row],[480 Device]]="","",COUNTIF('480v Power'!$D$14:$EZ$50000,_480Dev[[#This Row],[480 Device]]))</f>
        <v/>
      </c>
      <c r="K56" s="141"/>
      <c r="N56" s="60" t="str">
        <f>IF(_120CblLgth[[#This Row],[120 Cable Length]]="","",COUNTIF('120v Power'!$B$14:$EZ$50000,_120CblLgth[[#This Row],[120 Cable Length]]))</f>
        <v/>
      </c>
      <c r="O56" s="81"/>
      <c r="R56" s="60" t="str">
        <f>IF(_120Dev[[#This Row],[120 Device]]="","",COUNTIF('120v Power'!$B$14:$EZ$50000,_120Dev[[#This Row],[120 Device]]))</f>
        <v/>
      </c>
      <c r="S56" s="141"/>
      <c r="V56" s="60" t="str">
        <f>IF(_24CblLgth[[#This Row],[24 Cable Length]]="","",COUNTIF('24v Power'!$B$14:$EZ$50000,_24CblLgth[[#This Row],[24 Cable Length]]))</f>
        <v/>
      </c>
      <c r="W56" s="141"/>
      <c r="Z56" s="60" t="str">
        <f>IF(_24Dev[[#This Row],[24 Device]]="","",COUNTIF('24v Power'!$B$14:$EZ$50000,_24Dev[[#This Row],[24 Device]]))</f>
        <v/>
      </c>
      <c r="AA56" s="141"/>
      <c r="AB56" s="82" t="s">
        <v>522</v>
      </c>
      <c r="AC56" s="82">
        <v>18880</v>
      </c>
      <c r="AD56" s="60">
        <f>IF(_ENetCblLgth[[#This Row],[ENet Cable Length]]="","",COUNTIF(Ethernet!$C$14:$EZ$50000,_ENetCblLgth[[#This Row],[ENet Cable Length]]))</f>
        <v>0</v>
      </c>
      <c r="AE56" s="81"/>
      <c r="AF56" s="91"/>
      <c r="AG56" s="141"/>
      <c r="AJ5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6" s="141"/>
      <c r="AN56" s="60" t="str">
        <f>IF(_SafeIODev[[#This Row],[Safe IO Device]]="","",COUNTIF('Safety IO'!$C$12:$EZ$50000,_SafeIODev[[#This Row],[Safe IO Device]]))</f>
        <v/>
      </c>
      <c r="AO56" s="141"/>
      <c r="AR56" s="60" t="str">
        <f>IF(_IODev[[#This Row],[IO Device]]="","",COUNTIF('Standard IO'!$C$12:$EZ$49995,_IODev[[#This Row],[IO Device]]))</f>
        <v/>
      </c>
    </row>
    <row r="57" spans="1:44" x14ac:dyDescent="0.3">
      <c r="A57" s="90"/>
      <c r="C57" s="141"/>
      <c r="F57" s="60" t="str">
        <f>IF(_480CblLgth[[#This Row],[480 Cable Length]]="","",COUNTIF('480v Power'!$D$14:$EZ$50000,_480CblLgth[[#This Row],[480 Cable Length]]))</f>
        <v/>
      </c>
      <c r="G57" s="141"/>
      <c r="J57" s="60" t="str">
        <f>IF(_480Dev[[#This Row],[480 Device]]="","",COUNTIF('480v Power'!$D$14:$EZ$50000,_480Dev[[#This Row],[480 Device]]))</f>
        <v/>
      </c>
      <c r="K57" s="141"/>
      <c r="N57" s="60" t="str">
        <f>IF(_120CblLgth[[#This Row],[120 Cable Length]]="","",COUNTIF('120v Power'!$B$14:$EZ$50000,_120CblLgth[[#This Row],[120 Cable Length]]))</f>
        <v/>
      </c>
      <c r="O57" s="81"/>
      <c r="R57" s="60" t="str">
        <f>IF(_120Dev[[#This Row],[120 Device]]="","",COUNTIF('120v Power'!$B$14:$EZ$50000,_120Dev[[#This Row],[120 Device]]))</f>
        <v/>
      </c>
      <c r="S57" s="141"/>
      <c r="V57" s="60" t="str">
        <f>IF(_24CblLgth[[#This Row],[24 Cable Length]]="","",COUNTIF('24v Power'!$B$14:$EZ$50000,_24CblLgth[[#This Row],[24 Cable Length]]))</f>
        <v/>
      </c>
      <c r="W57" s="141"/>
      <c r="Z57" s="60" t="str">
        <f>IF(_24Dev[[#This Row],[24 Device]]="","",COUNTIF('24v Power'!$B$14:$EZ$50000,_24Dev[[#This Row],[24 Device]]))</f>
        <v/>
      </c>
      <c r="AA57" s="141"/>
      <c r="AB57" s="82" t="s">
        <v>523</v>
      </c>
      <c r="AC57" s="82">
        <v>18881</v>
      </c>
      <c r="AD57" s="60">
        <f>IF(_ENetCblLgth[[#This Row],[ENet Cable Length]]="","",COUNTIF(Ethernet!$C$14:$EZ$50000,_ENetCblLgth[[#This Row],[ENet Cable Length]]))</f>
        <v>0</v>
      </c>
      <c r="AE57" s="81"/>
      <c r="AF57" s="91"/>
      <c r="AG57" s="141"/>
      <c r="AJ5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7" s="141"/>
      <c r="AN57" s="60" t="str">
        <f>IF(_SafeIODev[[#This Row],[Safe IO Device]]="","",COUNTIF('Safety IO'!$C$12:$EZ$50000,_SafeIODev[[#This Row],[Safe IO Device]]))</f>
        <v/>
      </c>
      <c r="AO57" s="141"/>
      <c r="AR57" s="60" t="str">
        <f>IF(_IODev[[#This Row],[IO Device]]="","",COUNTIF('Standard IO'!$C$12:$EZ$49995,_IODev[[#This Row],[IO Device]]))</f>
        <v/>
      </c>
    </row>
    <row r="58" spans="1:44" x14ac:dyDescent="0.3">
      <c r="A58" s="90"/>
      <c r="C58" s="141"/>
      <c r="F58" s="60" t="str">
        <f>IF(_480CblLgth[[#This Row],[480 Cable Length]]="","",COUNTIF('480v Power'!$D$14:$EZ$50000,_480CblLgth[[#This Row],[480 Cable Length]]))</f>
        <v/>
      </c>
      <c r="G58" s="141"/>
      <c r="J58" s="60" t="str">
        <f>IF(_480Dev[[#This Row],[480 Device]]="","",COUNTIF('480v Power'!$D$14:$EZ$50000,_480Dev[[#This Row],[480 Device]]))</f>
        <v/>
      </c>
      <c r="K58" s="141"/>
      <c r="N58" s="60" t="str">
        <f>IF(_120CblLgth[[#This Row],[120 Cable Length]]="","",COUNTIF('120v Power'!$B$14:$EZ$50000,_120CblLgth[[#This Row],[120 Cable Length]]))</f>
        <v/>
      </c>
      <c r="O58" s="81"/>
      <c r="R58" s="60" t="str">
        <f>IF(_120Dev[[#This Row],[120 Device]]="","",COUNTIF('120v Power'!$B$14:$EZ$50000,_120Dev[[#This Row],[120 Device]]))</f>
        <v/>
      </c>
      <c r="S58" s="141"/>
      <c r="V58" s="60" t="str">
        <f>IF(_24CblLgth[[#This Row],[24 Cable Length]]="","",COUNTIF('24v Power'!$B$14:$EZ$50000,_24CblLgth[[#This Row],[24 Cable Length]]))</f>
        <v/>
      </c>
      <c r="W58" s="141"/>
      <c r="Z58" s="60" t="str">
        <f>IF(_24Dev[[#This Row],[24 Device]]="","",COUNTIF('24v Power'!$B$14:$EZ$50000,_24Dev[[#This Row],[24 Device]]))</f>
        <v/>
      </c>
      <c r="AA58" s="141"/>
      <c r="AB58" s="82" t="s">
        <v>524</v>
      </c>
      <c r="AC58" s="82">
        <v>18882</v>
      </c>
      <c r="AD58" s="60">
        <f>IF(_ENetCblLgth[[#This Row],[ENet Cable Length]]="","",COUNTIF(Ethernet!$C$14:$EZ$50000,_ENetCblLgth[[#This Row],[ENet Cable Length]]))</f>
        <v>0</v>
      </c>
      <c r="AE58" s="81"/>
      <c r="AF58" s="91"/>
      <c r="AG58" s="141"/>
      <c r="AJ5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8" s="141"/>
      <c r="AN58" s="60" t="str">
        <f>IF(_SafeIODev[[#This Row],[Safe IO Device]]="","",COUNTIF('Safety IO'!$C$12:$EZ$50000,_SafeIODev[[#This Row],[Safe IO Device]]))</f>
        <v/>
      </c>
      <c r="AO58" s="141"/>
      <c r="AR58" s="60" t="str">
        <f>IF(_IODev[[#This Row],[IO Device]]="","",COUNTIF('Standard IO'!$C$12:$EZ$49995,_IODev[[#This Row],[IO Device]]))</f>
        <v/>
      </c>
    </row>
    <row r="59" spans="1:44" x14ac:dyDescent="0.3">
      <c r="A59" s="90"/>
      <c r="C59" s="141"/>
      <c r="F59" s="60" t="str">
        <f>IF(_480CblLgth[[#This Row],[480 Cable Length]]="","",COUNTIF('480v Power'!$D$14:$EZ$50000,_480CblLgth[[#This Row],[480 Cable Length]]))</f>
        <v/>
      </c>
      <c r="G59" s="141"/>
      <c r="J59" s="60" t="str">
        <f>IF(_480Dev[[#This Row],[480 Device]]="","",COUNTIF('480v Power'!$D$14:$EZ$50000,_480Dev[[#This Row],[480 Device]]))</f>
        <v/>
      </c>
      <c r="K59" s="141"/>
      <c r="N59" s="60" t="str">
        <f>IF(_120CblLgth[[#This Row],[120 Cable Length]]="","",COUNTIF('120v Power'!$B$14:$EZ$50000,_120CblLgth[[#This Row],[120 Cable Length]]))</f>
        <v/>
      </c>
      <c r="O59" s="81"/>
      <c r="R59" s="60" t="str">
        <f>IF(_120Dev[[#This Row],[120 Device]]="","",COUNTIF('120v Power'!$B$14:$EZ$50000,_120Dev[[#This Row],[120 Device]]))</f>
        <v/>
      </c>
      <c r="S59" s="141"/>
      <c r="V59" s="60" t="str">
        <f>IF(_24CblLgth[[#This Row],[24 Cable Length]]="","",COUNTIF('24v Power'!$B$14:$EZ$50000,_24CblLgth[[#This Row],[24 Cable Length]]))</f>
        <v/>
      </c>
      <c r="W59" s="141"/>
      <c r="Z59" s="60" t="str">
        <f>IF(_24Dev[[#This Row],[24 Device]]="","",COUNTIF('24v Power'!$B$14:$EZ$50000,_24Dev[[#This Row],[24 Device]]))</f>
        <v/>
      </c>
      <c r="AA59" s="141"/>
      <c r="AB59" s="82" t="s">
        <v>525</v>
      </c>
      <c r="AC59" s="82">
        <v>18883</v>
      </c>
      <c r="AD59" s="60">
        <f>IF(_ENetCblLgth[[#This Row],[ENet Cable Length]]="","",COUNTIF(Ethernet!$C$14:$EZ$50000,_ENetCblLgth[[#This Row],[ENet Cable Length]]))</f>
        <v>0</v>
      </c>
      <c r="AE59" s="81"/>
      <c r="AF59" s="91"/>
      <c r="AG59" s="141"/>
      <c r="AJ5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59" s="141"/>
      <c r="AN59" s="60" t="str">
        <f>IF(_SafeIODev[[#This Row],[Safe IO Device]]="","",COUNTIF('Safety IO'!$C$12:$EZ$50000,_SafeIODev[[#This Row],[Safe IO Device]]))</f>
        <v/>
      </c>
      <c r="AO59" s="141"/>
      <c r="AR59" s="60" t="str">
        <f>IF(_IODev[[#This Row],[IO Device]]="","",COUNTIF('Standard IO'!$C$12:$EZ$49995,_IODev[[#This Row],[IO Device]]))</f>
        <v/>
      </c>
    </row>
    <row r="60" spans="1:44" x14ac:dyDescent="0.3">
      <c r="A60" s="90"/>
      <c r="C60" s="141"/>
      <c r="F60" s="60" t="str">
        <f>IF(_480CblLgth[[#This Row],[480 Cable Length]]="","",COUNTIF('480v Power'!$D$14:$EZ$50000,_480CblLgth[[#This Row],[480 Cable Length]]))</f>
        <v/>
      </c>
      <c r="G60" s="141"/>
      <c r="J60" s="60" t="str">
        <f>IF(_480Dev[[#This Row],[480 Device]]="","",COUNTIF('480v Power'!$D$14:$EZ$50000,_480Dev[[#This Row],[480 Device]]))</f>
        <v/>
      </c>
      <c r="K60" s="141"/>
      <c r="N60" s="60" t="str">
        <f>IF(_120CblLgth[[#This Row],[120 Cable Length]]="","",COUNTIF('120v Power'!$B$14:$EZ$50000,_120CblLgth[[#This Row],[120 Cable Length]]))</f>
        <v/>
      </c>
      <c r="O60" s="81"/>
      <c r="R60" s="60" t="str">
        <f>IF(_120Dev[[#This Row],[120 Device]]="","",COUNTIF('120v Power'!$B$14:$EZ$50000,_120Dev[[#This Row],[120 Device]]))</f>
        <v/>
      </c>
      <c r="S60" s="141"/>
      <c r="V60" s="60" t="str">
        <f>IF(_24CblLgth[[#This Row],[24 Cable Length]]="","",COUNTIF('24v Power'!$B$14:$EZ$50000,_24CblLgth[[#This Row],[24 Cable Length]]))</f>
        <v/>
      </c>
      <c r="W60" s="141"/>
      <c r="Z60" s="60" t="str">
        <f>IF(_24Dev[[#This Row],[24 Device]]="","",COUNTIF('24v Power'!$B$14:$EZ$50000,_24Dev[[#This Row],[24 Device]]))</f>
        <v/>
      </c>
      <c r="AA60" s="141"/>
      <c r="AB60" s="82" t="s">
        <v>526</v>
      </c>
      <c r="AC60" s="82">
        <v>18884</v>
      </c>
      <c r="AD60" s="60">
        <f>IF(_ENetCblLgth[[#This Row],[ENet Cable Length]]="","",COUNTIF(Ethernet!$C$14:$EZ$50000,_ENetCblLgth[[#This Row],[ENet Cable Length]]))</f>
        <v>0</v>
      </c>
      <c r="AE60" s="81"/>
      <c r="AF60" s="91"/>
      <c r="AG60" s="141"/>
      <c r="AJ6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0" s="141"/>
      <c r="AN60" s="60" t="str">
        <f>IF(_SafeIODev[[#This Row],[Safe IO Device]]="","",COUNTIF('Safety IO'!$C$12:$EZ$50000,_SafeIODev[[#This Row],[Safe IO Device]]))</f>
        <v/>
      </c>
      <c r="AO60" s="141"/>
      <c r="AR60" s="60" t="str">
        <f>IF(_IODev[[#This Row],[IO Device]]="","",COUNTIF('Standard IO'!$C$12:$EZ$49995,_IODev[[#This Row],[IO Device]]))</f>
        <v/>
      </c>
    </row>
    <row r="61" spans="1:44" x14ac:dyDescent="0.3">
      <c r="A61" s="90"/>
      <c r="C61" s="141"/>
      <c r="F61" s="60" t="str">
        <f>IF(_480CblLgth[[#This Row],[480 Cable Length]]="","",COUNTIF('480v Power'!$D$14:$EZ$50000,_480CblLgth[[#This Row],[480 Cable Length]]))</f>
        <v/>
      </c>
      <c r="G61" s="141"/>
      <c r="J61" s="60" t="str">
        <f>IF(_480Dev[[#This Row],[480 Device]]="","",COUNTIF('480v Power'!$D$14:$EZ$50000,_480Dev[[#This Row],[480 Device]]))</f>
        <v/>
      </c>
      <c r="K61" s="141"/>
      <c r="N61" s="60" t="str">
        <f>IF(_120CblLgth[[#This Row],[120 Cable Length]]="","",COUNTIF('120v Power'!$B$14:$EZ$50000,_120CblLgth[[#This Row],[120 Cable Length]]))</f>
        <v/>
      </c>
      <c r="O61" s="81"/>
      <c r="R61" s="60" t="str">
        <f>IF(_120Dev[[#This Row],[120 Device]]="","",COUNTIF('120v Power'!$B$14:$EZ$50000,_120Dev[[#This Row],[120 Device]]))</f>
        <v/>
      </c>
      <c r="S61" s="141"/>
      <c r="V61" s="60" t="str">
        <f>IF(_24CblLgth[[#This Row],[24 Cable Length]]="","",COUNTIF('24v Power'!$B$14:$EZ$50000,_24CblLgth[[#This Row],[24 Cable Length]]))</f>
        <v/>
      </c>
      <c r="W61" s="141"/>
      <c r="Z61" s="60" t="str">
        <f>IF(_24Dev[[#This Row],[24 Device]]="","",COUNTIF('24v Power'!$B$14:$EZ$50000,_24Dev[[#This Row],[24 Device]]))</f>
        <v/>
      </c>
      <c r="AA61" s="141"/>
      <c r="AB61" s="82" t="s">
        <v>527</v>
      </c>
      <c r="AC61" s="82">
        <v>18885</v>
      </c>
      <c r="AD61" s="60">
        <f>IF(_ENetCblLgth[[#This Row],[ENet Cable Length]]="","",COUNTIF(Ethernet!$C$14:$EZ$50000,_ENetCblLgth[[#This Row],[ENet Cable Length]]))</f>
        <v>0</v>
      </c>
      <c r="AE61" s="81"/>
      <c r="AF61" s="91"/>
      <c r="AG61" s="141"/>
      <c r="AJ6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1" s="141"/>
      <c r="AN61" s="60" t="str">
        <f>IF(_SafeIODev[[#This Row],[Safe IO Device]]="","",COUNTIF('Safety IO'!$C$12:$EZ$50000,_SafeIODev[[#This Row],[Safe IO Device]]))</f>
        <v/>
      </c>
      <c r="AO61" s="141"/>
      <c r="AR61" s="60" t="str">
        <f>IF(_IODev[[#This Row],[IO Device]]="","",COUNTIF('Standard IO'!$C$12:$EZ$49995,_IODev[[#This Row],[IO Device]]))</f>
        <v/>
      </c>
    </row>
    <row r="62" spans="1:44" x14ac:dyDescent="0.3">
      <c r="A62" s="90"/>
      <c r="C62" s="141"/>
      <c r="F62" s="60" t="str">
        <f>IF(_480CblLgth[[#This Row],[480 Cable Length]]="","",COUNTIF('480v Power'!$D$14:$EZ$50000,_480CblLgth[[#This Row],[480 Cable Length]]))</f>
        <v/>
      </c>
      <c r="G62" s="141"/>
      <c r="J62" s="60" t="str">
        <f>IF(_480Dev[[#This Row],[480 Device]]="","",COUNTIF('480v Power'!$D$14:$EZ$50000,_480Dev[[#This Row],[480 Device]]))</f>
        <v/>
      </c>
      <c r="K62" s="141"/>
      <c r="N62" s="60" t="str">
        <f>IF(_120CblLgth[[#This Row],[120 Cable Length]]="","",COUNTIF('120v Power'!$B$14:$EZ$50000,_120CblLgth[[#This Row],[120 Cable Length]]))</f>
        <v/>
      </c>
      <c r="O62" s="81"/>
      <c r="R62" s="60" t="str">
        <f>IF(_120Dev[[#This Row],[120 Device]]="","",COUNTIF('120v Power'!$B$14:$EZ$50000,_120Dev[[#This Row],[120 Device]]))</f>
        <v/>
      </c>
      <c r="S62" s="141"/>
      <c r="V62" s="60" t="str">
        <f>IF(_24CblLgth[[#This Row],[24 Cable Length]]="","",COUNTIF('24v Power'!$B$14:$EZ$50000,_24CblLgth[[#This Row],[24 Cable Length]]))</f>
        <v/>
      </c>
      <c r="W62" s="141"/>
      <c r="Z62" s="60" t="str">
        <f>IF(_24Dev[[#This Row],[24 Device]]="","",COUNTIF('24v Power'!$B$14:$EZ$50000,_24Dev[[#This Row],[24 Device]]))</f>
        <v/>
      </c>
      <c r="AA62" s="141"/>
      <c r="AB62" s="82" t="s">
        <v>528</v>
      </c>
      <c r="AC62" s="82">
        <v>18886</v>
      </c>
      <c r="AD62" s="60">
        <f>IF(_ENetCblLgth[[#This Row],[ENet Cable Length]]="","",COUNTIF(Ethernet!$C$14:$EZ$50000,_ENetCblLgth[[#This Row],[ENet Cable Length]]))</f>
        <v>0</v>
      </c>
      <c r="AE62" s="81"/>
      <c r="AF62" s="91"/>
      <c r="AG62" s="141"/>
      <c r="AJ62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2" s="141"/>
      <c r="AN62" s="60" t="str">
        <f>IF(_SafeIODev[[#This Row],[Safe IO Device]]="","",COUNTIF('Safety IO'!$C$12:$EZ$50000,_SafeIODev[[#This Row],[Safe IO Device]]))</f>
        <v/>
      </c>
      <c r="AO62" s="141"/>
      <c r="AR62" s="60" t="str">
        <f>IF(_IODev[[#This Row],[IO Device]]="","",COUNTIF('Standard IO'!$C$12:$EZ$49995,_IODev[[#This Row],[IO Device]]))</f>
        <v/>
      </c>
    </row>
    <row r="63" spans="1:44" x14ac:dyDescent="0.3">
      <c r="A63" s="90"/>
      <c r="C63" s="141"/>
      <c r="F63" s="60" t="str">
        <f>IF(_480CblLgth[[#This Row],[480 Cable Length]]="","",COUNTIF('480v Power'!$D$14:$EZ$50000,_480CblLgth[[#This Row],[480 Cable Length]]))</f>
        <v/>
      </c>
      <c r="G63" s="141"/>
      <c r="J63" s="60" t="str">
        <f>IF(_480Dev[[#This Row],[480 Device]]="","",COUNTIF('480v Power'!$D$14:$EZ$50000,_480Dev[[#This Row],[480 Device]]))</f>
        <v/>
      </c>
      <c r="K63" s="141"/>
      <c r="N63" s="60" t="str">
        <f>IF(_120CblLgth[[#This Row],[120 Cable Length]]="","",COUNTIF('120v Power'!$B$14:$EZ$50000,_120CblLgth[[#This Row],[120 Cable Length]]))</f>
        <v/>
      </c>
      <c r="O63" s="81"/>
      <c r="R63" s="60" t="str">
        <f>IF(_120Dev[[#This Row],[120 Device]]="","",COUNTIF('120v Power'!$B$14:$EZ$50000,_120Dev[[#This Row],[120 Device]]))</f>
        <v/>
      </c>
      <c r="S63" s="141"/>
      <c r="V63" s="60" t="str">
        <f>IF(_24CblLgth[[#This Row],[24 Cable Length]]="","",COUNTIF('24v Power'!$B$14:$EZ$50000,_24CblLgth[[#This Row],[24 Cable Length]]))</f>
        <v/>
      </c>
      <c r="W63" s="141"/>
      <c r="Z63" s="60" t="str">
        <f>IF(_24Dev[[#This Row],[24 Device]]="","",COUNTIF('24v Power'!$B$14:$EZ$50000,_24Dev[[#This Row],[24 Device]]))</f>
        <v/>
      </c>
      <c r="AA63" s="141"/>
      <c r="AB63" s="82" t="s">
        <v>529</v>
      </c>
      <c r="AC63" s="82">
        <v>18887</v>
      </c>
      <c r="AD63" s="60">
        <f>IF(_ENetCblLgth[[#This Row],[ENet Cable Length]]="","",COUNTIF(Ethernet!$C$14:$EZ$50000,_ENetCblLgth[[#This Row],[ENet Cable Length]]))</f>
        <v>0</v>
      </c>
      <c r="AE63" s="81"/>
      <c r="AF63" s="91"/>
      <c r="AG63" s="141"/>
      <c r="AJ63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3" s="141"/>
      <c r="AN63" s="60" t="str">
        <f>IF(_SafeIODev[[#This Row],[Safe IO Device]]="","",COUNTIF('Safety IO'!$C$12:$EZ$50000,_SafeIODev[[#This Row],[Safe IO Device]]))</f>
        <v/>
      </c>
      <c r="AO63" s="141"/>
      <c r="AR63" s="60" t="str">
        <f>IF(_IODev[[#This Row],[IO Device]]="","",COUNTIF('Standard IO'!$C$12:$EZ$49995,_IODev[[#This Row],[IO Device]]))</f>
        <v/>
      </c>
    </row>
    <row r="64" spans="1:44" x14ac:dyDescent="0.3">
      <c r="A64" s="90"/>
      <c r="C64" s="141"/>
      <c r="F64" s="60" t="str">
        <f>IF(_480CblLgth[[#This Row],[480 Cable Length]]="","",COUNTIF('480v Power'!$D$14:$EZ$50000,_480CblLgth[[#This Row],[480 Cable Length]]))</f>
        <v/>
      </c>
      <c r="G64" s="141"/>
      <c r="J64" s="60" t="str">
        <f>IF(_480Dev[[#This Row],[480 Device]]="","",COUNTIF('480v Power'!$D$14:$EZ$50000,_480Dev[[#This Row],[480 Device]]))</f>
        <v/>
      </c>
      <c r="K64" s="141"/>
      <c r="N64" s="60" t="str">
        <f>IF(_120CblLgth[[#This Row],[120 Cable Length]]="","",COUNTIF('120v Power'!$B$14:$EZ$50000,_120CblLgth[[#This Row],[120 Cable Length]]))</f>
        <v/>
      </c>
      <c r="O64" s="81"/>
      <c r="R64" s="60" t="str">
        <f>IF(_120Dev[[#This Row],[120 Device]]="","",COUNTIF('120v Power'!$B$14:$EZ$50000,_120Dev[[#This Row],[120 Device]]))</f>
        <v/>
      </c>
      <c r="S64" s="141"/>
      <c r="V64" s="60" t="str">
        <f>IF(_24CblLgth[[#This Row],[24 Cable Length]]="","",COUNTIF('24v Power'!$B$14:$EZ$50000,_24CblLgth[[#This Row],[24 Cable Length]]))</f>
        <v/>
      </c>
      <c r="W64" s="141"/>
      <c r="Z64" s="60" t="str">
        <f>IF(_24Dev[[#This Row],[24 Device]]="","",COUNTIF('24v Power'!$B$14:$EZ$50000,_24Dev[[#This Row],[24 Device]]))</f>
        <v/>
      </c>
      <c r="AA64" s="141"/>
      <c r="AB64" s="82" t="s">
        <v>530</v>
      </c>
      <c r="AC64" s="82">
        <v>18888</v>
      </c>
      <c r="AD64" s="60">
        <f>IF(_ENetCblLgth[[#This Row],[ENet Cable Length]]="","",COUNTIF(Ethernet!$C$14:$EZ$50000,_ENetCblLgth[[#This Row],[ENet Cable Length]]))</f>
        <v>0</v>
      </c>
      <c r="AE64" s="81"/>
      <c r="AF64" s="91"/>
      <c r="AG64" s="141"/>
      <c r="AJ64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4" s="141"/>
      <c r="AN64" s="60" t="str">
        <f>IF(_SafeIODev[[#This Row],[Safe IO Device]]="","",COUNTIF('Safety IO'!$C$12:$EZ$50000,_SafeIODev[[#This Row],[Safe IO Device]]))</f>
        <v/>
      </c>
      <c r="AO64" s="141"/>
      <c r="AR64" s="60" t="str">
        <f>IF(_IODev[[#This Row],[IO Device]]="","",COUNTIF('Standard IO'!$C$12:$EZ$49995,_IODev[[#This Row],[IO Device]]))</f>
        <v/>
      </c>
    </row>
    <row r="65" spans="1:44" x14ac:dyDescent="0.3">
      <c r="A65" s="90"/>
      <c r="C65" s="141"/>
      <c r="F65" s="60" t="str">
        <f>IF(_480CblLgth[[#This Row],[480 Cable Length]]="","",COUNTIF('480v Power'!$D$14:$EZ$50000,_480CblLgth[[#This Row],[480 Cable Length]]))</f>
        <v/>
      </c>
      <c r="G65" s="141"/>
      <c r="J65" s="60" t="str">
        <f>IF(_480Dev[[#This Row],[480 Device]]="","",COUNTIF('480v Power'!$D$14:$EZ$50000,_480Dev[[#This Row],[480 Device]]))</f>
        <v/>
      </c>
      <c r="K65" s="141"/>
      <c r="N65" s="60" t="str">
        <f>IF(_120CblLgth[[#This Row],[120 Cable Length]]="","",COUNTIF('120v Power'!$B$14:$EZ$50000,_120CblLgth[[#This Row],[120 Cable Length]]))</f>
        <v/>
      </c>
      <c r="O65" s="81"/>
      <c r="R65" s="60" t="str">
        <f>IF(_120Dev[[#This Row],[120 Device]]="","",COUNTIF('120v Power'!$B$14:$EZ$50000,_120Dev[[#This Row],[120 Device]]))</f>
        <v/>
      </c>
      <c r="S65" s="141"/>
      <c r="V65" s="60" t="str">
        <f>IF(_24CblLgth[[#This Row],[24 Cable Length]]="","",COUNTIF('24v Power'!$B$14:$EZ$50000,_24CblLgth[[#This Row],[24 Cable Length]]))</f>
        <v/>
      </c>
      <c r="W65" s="141"/>
      <c r="Z65" s="60" t="str">
        <f>IF(_24Dev[[#This Row],[24 Device]]="","",COUNTIF('24v Power'!$B$14:$EZ$50000,_24Dev[[#This Row],[24 Device]]))</f>
        <v/>
      </c>
      <c r="AA65" s="141"/>
      <c r="AB65" s="82" t="s">
        <v>531</v>
      </c>
      <c r="AC65" s="82">
        <v>19065</v>
      </c>
      <c r="AD65" s="60">
        <f>IF(_ENetCblLgth[[#This Row],[ENet Cable Length]]="","",COUNTIF(Ethernet!$C$14:$EZ$50000,_ENetCblLgth[[#This Row],[ENet Cable Length]]))</f>
        <v>0</v>
      </c>
      <c r="AE65" s="81"/>
      <c r="AF65" s="91"/>
      <c r="AG65" s="141"/>
      <c r="AJ65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5" s="141"/>
      <c r="AN65" s="60" t="str">
        <f>IF(_SafeIODev[[#This Row],[Safe IO Device]]="","",COUNTIF('Safety IO'!$C$12:$EZ$50000,_SafeIODev[[#This Row],[Safe IO Device]]))</f>
        <v/>
      </c>
      <c r="AO65" s="141"/>
      <c r="AR65" s="60" t="str">
        <f>IF(_IODev[[#This Row],[IO Device]]="","",COUNTIF('Standard IO'!$C$12:$EZ$49995,_IODev[[#This Row],[IO Device]]))</f>
        <v/>
      </c>
    </row>
    <row r="66" spans="1:44" x14ac:dyDescent="0.3">
      <c r="A66" s="90"/>
      <c r="C66" s="141"/>
      <c r="F66" s="60" t="str">
        <f>IF(_480CblLgth[[#This Row],[480 Cable Length]]="","",COUNTIF('480v Power'!$D$14:$EZ$50000,_480CblLgth[[#This Row],[480 Cable Length]]))</f>
        <v/>
      </c>
      <c r="G66" s="141"/>
      <c r="J66" s="60" t="str">
        <f>IF(_480Dev[[#This Row],[480 Device]]="","",COUNTIF('480v Power'!$D$14:$EZ$50000,_480Dev[[#This Row],[480 Device]]))</f>
        <v/>
      </c>
      <c r="K66" s="141"/>
      <c r="N66" s="60" t="str">
        <f>IF(_120CblLgth[[#This Row],[120 Cable Length]]="","",COUNTIF('120v Power'!$B$14:$EZ$50000,_120CblLgth[[#This Row],[120 Cable Length]]))</f>
        <v/>
      </c>
      <c r="O66" s="81"/>
      <c r="R66" s="60" t="str">
        <f>IF(_120Dev[[#This Row],[120 Device]]="","",COUNTIF('120v Power'!$B$14:$EZ$50000,_120Dev[[#This Row],[120 Device]]))</f>
        <v/>
      </c>
      <c r="S66" s="141"/>
      <c r="V66" s="60" t="str">
        <f>IF(_24CblLgth[[#This Row],[24 Cable Length]]="","",COUNTIF('24v Power'!$B$14:$EZ$50000,_24CblLgth[[#This Row],[24 Cable Length]]))</f>
        <v/>
      </c>
      <c r="W66" s="141"/>
      <c r="Z66" s="60" t="str">
        <f>IF(_24Dev[[#This Row],[24 Device]]="","",COUNTIF('24v Power'!$B$14:$EZ$50000,_24Dev[[#This Row],[24 Device]]))</f>
        <v/>
      </c>
      <c r="AA66" s="141"/>
      <c r="AB66" s="82" t="s">
        <v>532</v>
      </c>
      <c r="AC66" s="82">
        <v>19066</v>
      </c>
      <c r="AD66" s="60">
        <f>IF(_ENetCblLgth[[#This Row],[ENet Cable Length]]="","",COUNTIF(Ethernet!$C$14:$EZ$50000,_ENetCblLgth[[#This Row],[ENet Cable Length]]))</f>
        <v>0</v>
      </c>
      <c r="AE66" s="81"/>
      <c r="AF66" s="91"/>
      <c r="AG66" s="141"/>
      <c r="AJ6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6" s="141"/>
      <c r="AN66" s="60" t="str">
        <f>IF(_SafeIODev[[#This Row],[Safe IO Device]]="","",COUNTIF('Safety IO'!$C$12:$EZ$50000,_SafeIODev[[#This Row],[Safe IO Device]]))</f>
        <v/>
      </c>
      <c r="AO66" s="141"/>
      <c r="AR66" s="60" t="str">
        <f>IF(_IODev[[#This Row],[IO Device]]="","",COUNTIF('Standard IO'!$C$12:$EZ$49995,_IODev[[#This Row],[IO Device]]))</f>
        <v/>
      </c>
    </row>
    <row r="67" spans="1:44" x14ac:dyDescent="0.3">
      <c r="A67" s="90"/>
      <c r="C67" s="141"/>
      <c r="F67" s="60" t="str">
        <f>IF(_480CblLgth[[#This Row],[480 Cable Length]]="","",COUNTIF('480v Power'!$D$14:$EZ$50000,_480CblLgth[[#This Row],[480 Cable Length]]))</f>
        <v/>
      </c>
      <c r="G67" s="141"/>
      <c r="J67" s="60" t="str">
        <f>IF(_480Dev[[#This Row],[480 Device]]="","",COUNTIF('480v Power'!$D$14:$EZ$50000,_480Dev[[#This Row],[480 Device]]))</f>
        <v/>
      </c>
      <c r="K67" s="141"/>
      <c r="N67" s="60" t="str">
        <f>IF(_120CblLgth[[#This Row],[120 Cable Length]]="","",COUNTIF('120v Power'!$B$14:$EZ$50000,_120CblLgth[[#This Row],[120 Cable Length]]))</f>
        <v/>
      </c>
      <c r="O67" s="81"/>
      <c r="R67" s="60" t="str">
        <f>IF(_120Dev[[#This Row],[120 Device]]="","",COUNTIF('120v Power'!$B$14:$EZ$50000,_120Dev[[#This Row],[120 Device]]))</f>
        <v/>
      </c>
      <c r="S67" s="141"/>
      <c r="V67" s="60" t="str">
        <f>IF(_24CblLgth[[#This Row],[24 Cable Length]]="","",COUNTIF('24v Power'!$B$14:$EZ$50000,_24CblLgth[[#This Row],[24 Cable Length]]))</f>
        <v/>
      </c>
      <c r="W67" s="141"/>
      <c r="Z67" s="60" t="str">
        <f>IF(_24Dev[[#This Row],[24 Device]]="","",COUNTIF('24v Power'!$B$14:$EZ$50000,_24Dev[[#This Row],[24 Device]]))</f>
        <v/>
      </c>
      <c r="AA67" s="141"/>
      <c r="AB67" s="82" t="s">
        <v>533</v>
      </c>
      <c r="AC67" s="82">
        <v>19459</v>
      </c>
      <c r="AD67" s="60">
        <f>IF(_ENetCblLgth[[#This Row],[ENet Cable Length]]="","",COUNTIF(Ethernet!$C$14:$EZ$50000,_ENetCblLgth[[#This Row],[ENet Cable Length]]))</f>
        <v>0</v>
      </c>
      <c r="AE67" s="81"/>
      <c r="AF67" s="91"/>
      <c r="AG67" s="141"/>
      <c r="AJ6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7" s="141"/>
      <c r="AN67" s="60" t="str">
        <f>IF(_SafeIODev[[#This Row],[Safe IO Device]]="","",COUNTIF('Safety IO'!$C$12:$EZ$50000,_SafeIODev[[#This Row],[Safe IO Device]]))</f>
        <v/>
      </c>
      <c r="AO67" s="141"/>
      <c r="AR67" s="60" t="str">
        <f>IF(_IODev[[#This Row],[IO Device]]="","",COUNTIF('Standard IO'!$C$12:$EZ$49995,_IODev[[#This Row],[IO Device]]))</f>
        <v/>
      </c>
    </row>
    <row r="68" spans="1:44" x14ac:dyDescent="0.3">
      <c r="A68" s="90"/>
      <c r="C68" s="141"/>
      <c r="F68" s="60" t="str">
        <f>IF(_480CblLgth[[#This Row],[480 Cable Length]]="","",COUNTIF('480v Power'!$D$14:$EZ$50000,_480CblLgth[[#This Row],[480 Cable Length]]))</f>
        <v/>
      </c>
      <c r="G68" s="141"/>
      <c r="J68" s="60" t="str">
        <f>IF(_480Dev[[#This Row],[480 Device]]="","",COUNTIF('480v Power'!$D$14:$EZ$50000,_480Dev[[#This Row],[480 Device]]))</f>
        <v/>
      </c>
      <c r="K68" s="141"/>
      <c r="N68" s="60" t="str">
        <f>IF(_120CblLgth[[#This Row],[120 Cable Length]]="","",COUNTIF('120v Power'!$B$14:$EZ$50000,_120CblLgth[[#This Row],[120 Cable Length]]))</f>
        <v/>
      </c>
      <c r="O68" s="81"/>
      <c r="R68" s="60" t="str">
        <f>IF(_120Dev[[#This Row],[120 Device]]="","",COUNTIF('120v Power'!$B$14:$EZ$50000,_120Dev[[#This Row],[120 Device]]))</f>
        <v/>
      </c>
      <c r="S68" s="141"/>
      <c r="V68" s="60" t="str">
        <f>IF(_24CblLgth[[#This Row],[24 Cable Length]]="","",COUNTIF('24v Power'!$B$14:$EZ$50000,_24CblLgth[[#This Row],[24 Cable Length]]))</f>
        <v/>
      </c>
      <c r="W68" s="141"/>
      <c r="Z68" s="60" t="str">
        <f>IF(_24Dev[[#This Row],[24 Device]]="","",COUNTIF('24v Power'!$B$14:$EZ$50000,_24Dev[[#This Row],[24 Device]]))</f>
        <v/>
      </c>
      <c r="AA68" s="141"/>
      <c r="AB68" s="82" t="s">
        <v>534</v>
      </c>
      <c r="AC68" s="82">
        <v>19460</v>
      </c>
      <c r="AD68" s="60">
        <f>IF(_ENetCblLgth[[#This Row],[ENet Cable Length]]="","",COUNTIF(Ethernet!$C$14:$EZ$50000,_ENetCblLgth[[#This Row],[ENet Cable Length]]))</f>
        <v>0</v>
      </c>
      <c r="AE68" s="81"/>
      <c r="AF68" s="91"/>
      <c r="AG68" s="141"/>
      <c r="AJ6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8" s="141"/>
      <c r="AN68" s="60" t="str">
        <f>IF(_SafeIODev[[#This Row],[Safe IO Device]]="","",COUNTIF('Safety IO'!$C$12:$EZ$50000,_SafeIODev[[#This Row],[Safe IO Device]]))</f>
        <v/>
      </c>
      <c r="AO68" s="141"/>
      <c r="AR68" s="60" t="str">
        <f>IF(_IODev[[#This Row],[IO Device]]="","",COUNTIF('Standard IO'!$C$12:$EZ$49995,_IODev[[#This Row],[IO Device]]))</f>
        <v/>
      </c>
    </row>
    <row r="69" spans="1:44" x14ac:dyDescent="0.3">
      <c r="A69" s="90"/>
      <c r="C69" s="141"/>
      <c r="F69" s="60" t="str">
        <f>IF(_480CblLgth[[#This Row],[480 Cable Length]]="","",COUNTIF('480v Power'!$D$14:$EZ$50000,_480CblLgth[[#This Row],[480 Cable Length]]))</f>
        <v/>
      </c>
      <c r="G69" s="141"/>
      <c r="J69" s="60" t="str">
        <f>IF(_480Dev[[#This Row],[480 Device]]="","",COUNTIF('480v Power'!$D$14:$EZ$50000,_480Dev[[#This Row],[480 Device]]))</f>
        <v/>
      </c>
      <c r="K69" s="141"/>
      <c r="N69" s="60" t="str">
        <f>IF(_120CblLgth[[#This Row],[120 Cable Length]]="","",COUNTIF('120v Power'!$B$14:$EZ$50000,_120CblLgth[[#This Row],[120 Cable Length]]))</f>
        <v/>
      </c>
      <c r="O69" s="81"/>
      <c r="R69" s="60" t="str">
        <f>IF(_120Dev[[#This Row],[120 Device]]="","",COUNTIF('120v Power'!$B$14:$EZ$50000,_120Dev[[#This Row],[120 Device]]))</f>
        <v/>
      </c>
      <c r="S69" s="141"/>
      <c r="V69" s="60" t="str">
        <f>IF(_24CblLgth[[#This Row],[24 Cable Length]]="","",COUNTIF('24v Power'!$B$14:$EZ$50000,_24CblLgth[[#This Row],[24 Cable Length]]))</f>
        <v/>
      </c>
      <c r="W69" s="141"/>
      <c r="Z69" s="60" t="str">
        <f>IF(_24Dev[[#This Row],[24 Device]]="","",COUNTIF('24v Power'!$B$14:$EZ$50000,_24Dev[[#This Row],[24 Device]]))</f>
        <v/>
      </c>
      <c r="AA69" s="141"/>
      <c r="AB69" s="82" t="s">
        <v>535</v>
      </c>
      <c r="AC69" s="82">
        <v>19461</v>
      </c>
      <c r="AD69" s="60">
        <f>IF(_ENetCblLgth[[#This Row],[ENet Cable Length]]="","",COUNTIF(Ethernet!$C$14:$EZ$50000,_ENetCblLgth[[#This Row],[ENet Cable Length]]))</f>
        <v>0</v>
      </c>
      <c r="AE69" s="81"/>
      <c r="AF69" s="91"/>
      <c r="AG69" s="141"/>
      <c r="AJ6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69" s="141"/>
      <c r="AN69" s="60" t="str">
        <f>IF(_SafeIODev[[#This Row],[Safe IO Device]]="","",COUNTIF('Safety IO'!$C$12:$EZ$50000,_SafeIODev[[#This Row],[Safe IO Device]]))</f>
        <v/>
      </c>
      <c r="AO69" s="141"/>
      <c r="AR69" s="60" t="str">
        <f>IF(_IODev[[#This Row],[IO Device]]="","",COUNTIF('Standard IO'!$C$12:$EZ$49995,_IODev[[#This Row],[IO Device]]))</f>
        <v/>
      </c>
    </row>
    <row r="70" spans="1:44" x14ac:dyDescent="0.3">
      <c r="A70" s="90"/>
      <c r="C70" s="141"/>
      <c r="F70" s="60" t="str">
        <f>IF(_480CblLgth[[#This Row],[480 Cable Length]]="","",COUNTIF('480v Power'!$D$14:$EZ$50000,_480CblLgth[[#This Row],[480 Cable Length]]))</f>
        <v/>
      </c>
      <c r="G70" s="141"/>
      <c r="J70" s="60" t="str">
        <f>IF(_480Dev[[#This Row],[480 Device]]="","",COUNTIF('480v Power'!$D$14:$EZ$50000,_480Dev[[#This Row],[480 Device]]))</f>
        <v/>
      </c>
      <c r="K70" s="141"/>
      <c r="N70" s="60" t="str">
        <f>IF(_120CblLgth[[#This Row],[120 Cable Length]]="","",COUNTIF('120v Power'!$B$14:$EZ$50000,_120CblLgth[[#This Row],[120 Cable Length]]))</f>
        <v/>
      </c>
      <c r="O70" s="81"/>
      <c r="R70" s="60" t="str">
        <f>IF(_120Dev[[#This Row],[120 Device]]="","",COUNTIF('120v Power'!$B$14:$EZ$50000,_120Dev[[#This Row],[120 Device]]))</f>
        <v/>
      </c>
      <c r="S70" s="141"/>
      <c r="V70" s="60" t="str">
        <f>IF(_24CblLgth[[#This Row],[24 Cable Length]]="","",COUNTIF('24v Power'!$B$14:$EZ$50000,_24CblLgth[[#This Row],[24 Cable Length]]))</f>
        <v/>
      </c>
      <c r="W70" s="141"/>
      <c r="Z70" s="60" t="str">
        <f>IF(_24Dev[[#This Row],[24 Device]]="","",COUNTIF('24v Power'!$B$14:$EZ$50000,_24Dev[[#This Row],[24 Device]]))</f>
        <v/>
      </c>
      <c r="AA70" s="141"/>
      <c r="AB70" s="82" t="s">
        <v>536</v>
      </c>
      <c r="AC70" s="82">
        <v>19462</v>
      </c>
      <c r="AD70" s="60">
        <f>IF(_ENetCblLgth[[#This Row],[ENet Cable Length]]="","",COUNTIF(Ethernet!$C$14:$EZ$50000,_ENetCblLgth[[#This Row],[ENet Cable Length]]))</f>
        <v>0</v>
      </c>
      <c r="AE70" s="81"/>
      <c r="AF70" s="91"/>
      <c r="AG70" s="141"/>
      <c r="AJ7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0" s="141"/>
      <c r="AN70" s="60" t="str">
        <f>IF(_SafeIODev[[#This Row],[Safe IO Device]]="","",COUNTIF('Safety IO'!$C$12:$EZ$50000,_SafeIODev[[#This Row],[Safe IO Device]]))</f>
        <v/>
      </c>
      <c r="AO70" s="141"/>
      <c r="AR70" s="60" t="str">
        <f>IF(_IODev[[#This Row],[IO Device]]="","",COUNTIF('Standard IO'!$C$12:$EZ$49995,_IODev[[#This Row],[IO Device]]))</f>
        <v/>
      </c>
    </row>
    <row r="71" spans="1:44" x14ac:dyDescent="0.3">
      <c r="A71" s="90"/>
      <c r="C71" s="141"/>
      <c r="F71" s="60" t="str">
        <f>IF(_480CblLgth[[#This Row],[480 Cable Length]]="","",COUNTIF('480v Power'!$D$14:$EZ$50000,_480CblLgth[[#This Row],[480 Cable Length]]))</f>
        <v/>
      </c>
      <c r="G71" s="141"/>
      <c r="J71" s="60" t="str">
        <f>IF(_480Dev[[#This Row],[480 Device]]="","",COUNTIF('480v Power'!$D$14:$EZ$50000,_480Dev[[#This Row],[480 Device]]))</f>
        <v/>
      </c>
      <c r="K71" s="141"/>
      <c r="N71" s="60" t="str">
        <f>IF(_120CblLgth[[#This Row],[120 Cable Length]]="","",COUNTIF('120v Power'!$B$14:$EZ$50000,_120CblLgth[[#This Row],[120 Cable Length]]))</f>
        <v/>
      </c>
      <c r="O71" s="81"/>
      <c r="R71" s="60" t="str">
        <f>IF(_120Dev[[#This Row],[120 Device]]="","",COUNTIF('120v Power'!$B$14:$EZ$50000,_120Dev[[#This Row],[120 Device]]))</f>
        <v/>
      </c>
      <c r="S71" s="141"/>
      <c r="V71" s="60" t="str">
        <f>IF(_24CblLgth[[#This Row],[24 Cable Length]]="","",COUNTIF('24v Power'!$B$14:$EZ$50000,_24CblLgth[[#This Row],[24 Cable Length]]))</f>
        <v/>
      </c>
      <c r="W71" s="141"/>
      <c r="Z71" s="60" t="str">
        <f>IF(_24Dev[[#This Row],[24 Device]]="","",COUNTIF('24v Power'!$B$14:$EZ$50000,_24Dev[[#This Row],[24 Device]]))</f>
        <v/>
      </c>
      <c r="AA71" s="141"/>
      <c r="AB71" s="82" t="s">
        <v>537</v>
      </c>
      <c r="AC71" s="82">
        <v>19463</v>
      </c>
      <c r="AD71" s="60">
        <f>IF(_ENetCblLgth[[#This Row],[ENet Cable Length]]="","",COUNTIF(Ethernet!$C$14:$EZ$50000,_ENetCblLgth[[#This Row],[ENet Cable Length]]))</f>
        <v>0</v>
      </c>
      <c r="AE71" s="81"/>
      <c r="AF71" s="91"/>
      <c r="AG71" s="141"/>
      <c r="AJ7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1" s="141"/>
      <c r="AN71" s="60" t="str">
        <f>IF(_SafeIODev[[#This Row],[Safe IO Device]]="","",COUNTIF('Safety IO'!$C$12:$EZ$50000,_SafeIODev[[#This Row],[Safe IO Device]]))</f>
        <v/>
      </c>
      <c r="AO71" s="141"/>
      <c r="AR71" s="60" t="str">
        <f>IF(_IODev[[#This Row],[IO Device]]="","",COUNTIF('Standard IO'!$C$12:$EZ$49995,_IODev[[#This Row],[IO Device]]))</f>
        <v/>
      </c>
    </row>
    <row r="72" spans="1:44" x14ac:dyDescent="0.3">
      <c r="A72" s="90"/>
      <c r="C72" s="141"/>
      <c r="F72" s="60" t="str">
        <f>IF(_480CblLgth[[#This Row],[480 Cable Length]]="","",COUNTIF('480v Power'!$D$14:$EZ$50000,_480CblLgth[[#This Row],[480 Cable Length]]))</f>
        <v/>
      </c>
      <c r="G72" s="141"/>
      <c r="J72" s="60" t="str">
        <f>IF(_480Dev[[#This Row],[480 Device]]="","",COUNTIF('480v Power'!$D$14:$EZ$50000,_480Dev[[#This Row],[480 Device]]))</f>
        <v/>
      </c>
      <c r="K72" s="141"/>
      <c r="N72" s="60" t="str">
        <f>IF(_120CblLgth[[#This Row],[120 Cable Length]]="","",COUNTIF('120v Power'!$B$14:$EZ$50000,_120CblLgth[[#This Row],[120 Cable Length]]))</f>
        <v/>
      </c>
      <c r="O72" s="81"/>
      <c r="R72" s="60" t="str">
        <f>IF(_120Dev[[#This Row],[120 Device]]="","",COUNTIF('120v Power'!$B$14:$EZ$50000,_120Dev[[#This Row],[120 Device]]))</f>
        <v/>
      </c>
      <c r="S72" s="141"/>
      <c r="V72" s="60" t="str">
        <f>IF(_24CblLgth[[#This Row],[24 Cable Length]]="","",COUNTIF('24v Power'!$B$14:$EZ$50000,_24CblLgth[[#This Row],[24 Cable Length]]))</f>
        <v/>
      </c>
      <c r="W72" s="141"/>
      <c r="Z72" s="60" t="str">
        <f>IF(_24Dev[[#This Row],[24 Device]]="","",COUNTIF('24v Power'!$B$14:$EZ$50000,_24Dev[[#This Row],[24 Device]]))</f>
        <v/>
      </c>
      <c r="AA72" s="141"/>
      <c r="AB72" s="82" t="s">
        <v>538</v>
      </c>
      <c r="AC72" s="82">
        <v>19464</v>
      </c>
      <c r="AD72" s="60">
        <f>IF(_ENetCblLgth[[#This Row],[ENet Cable Length]]="","",COUNTIF(Ethernet!$C$14:$EZ$50000,_ENetCblLgth[[#This Row],[ENet Cable Length]]))</f>
        <v>0</v>
      </c>
      <c r="AE72" s="81"/>
      <c r="AF72" s="91"/>
      <c r="AG72" s="141"/>
      <c r="AJ72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2" s="141"/>
      <c r="AN72" s="60" t="str">
        <f>IF(_SafeIODev[[#This Row],[Safe IO Device]]="","",COUNTIF('Safety IO'!$C$12:$EZ$50000,_SafeIODev[[#This Row],[Safe IO Device]]))</f>
        <v/>
      </c>
      <c r="AO72" s="141"/>
      <c r="AR72" s="60" t="str">
        <f>IF(_IODev[[#This Row],[IO Device]]="","",COUNTIF('Standard IO'!$C$12:$EZ$49995,_IODev[[#This Row],[IO Device]]))</f>
        <v/>
      </c>
    </row>
    <row r="73" spans="1:44" x14ac:dyDescent="0.3">
      <c r="A73" s="90"/>
      <c r="C73" s="141"/>
      <c r="F73" s="60" t="str">
        <f>IF(_480CblLgth[[#This Row],[480 Cable Length]]="","",COUNTIF('480v Power'!$D$14:$EZ$50000,_480CblLgth[[#This Row],[480 Cable Length]]))</f>
        <v/>
      </c>
      <c r="G73" s="141"/>
      <c r="J73" s="60" t="str">
        <f>IF(_480Dev[[#This Row],[480 Device]]="","",COUNTIF('480v Power'!$D$14:$EZ$50000,_480Dev[[#This Row],[480 Device]]))</f>
        <v/>
      </c>
      <c r="K73" s="141"/>
      <c r="N73" s="60" t="str">
        <f>IF(_120CblLgth[[#This Row],[120 Cable Length]]="","",COUNTIF('120v Power'!$B$14:$EZ$50000,_120CblLgth[[#This Row],[120 Cable Length]]))</f>
        <v/>
      </c>
      <c r="O73" s="81"/>
      <c r="R73" s="60" t="str">
        <f>IF(_120Dev[[#This Row],[120 Device]]="","",COUNTIF('120v Power'!$B$14:$EZ$50000,_120Dev[[#This Row],[120 Device]]))</f>
        <v/>
      </c>
      <c r="S73" s="141"/>
      <c r="V73" s="60" t="str">
        <f>IF(_24CblLgth[[#This Row],[24 Cable Length]]="","",COUNTIF('24v Power'!$B$14:$EZ$50000,_24CblLgth[[#This Row],[24 Cable Length]]))</f>
        <v/>
      </c>
      <c r="W73" s="141"/>
      <c r="Z73" s="60" t="str">
        <f>IF(_24Dev[[#This Row],[24 Device]]="","",COUNTIF('24v Power'!$B$14:$EZ$50000,_24Dev[[#This Row],[24 Device]]))</f>
        <v/>
      </c>
      <c r="AA73" s="141"/>
      <c r="AB73" s="82" t="s">
        <v>539</v>
      </c>
      <c r="AC73" s="82">
        <v>19465</v>
      </c>
      <c r="AD73" s="60">
        <f>IF(_ENetCblLgth[[#This Row],[ENet Cable Length]]="","",COUNTIF(Ethernet!$C$14:$EZ$50000,_ENetCblLgth[[#This Row],[ENet Cable Length]]))</f>
        <v>0</v>
      </c>
      <c r="AE73" s="81"/>
      <c r="AF73" s="91"/>
      <c r="AG73" s="141"/>
      <c r="AJ73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3" s="141"/>
      <c r="AN73" s="60" t="str">
        <f>IF(_SafeIODev[[#This Row],[Safe IO Device]]="","",COUNTIF('Safety IO'!$C$12:$EZ$50000,_SafeIODev[[#This Row],[Safe IO Device]]))</f>
        <v/>
      </c>
      <c r="AO73" s="141"/>
      <c r="AR73" s="60" t="str">
        <f>IF(_IODev[[#This Row],[IO Device]]="","",COUNTIF('Standard IO'!$C$12:$EZ$49995,_IODev[[#This Row],[IO Device]]))</f>
        <v/>
      </c>
    </row>
    <row r="74" spans="1:44" x14ac:dyDescent="0.3">
      <c r="A74" s="90"/>
      <c r="C74" s="141"/>
      <c r="F74" s="60" t="str">
        <f>IF(_480CblLgth[[#This Row],[480 Cable Length]]="","",COUNTIF('480v Power'!$D$14:$EZ$50000,_480CblLgth[[#This Row],[480 Cable Length]]))</f>
        <v/>
      </c>
      <c r="G74" s="141"/>
      <c r="J74" s="60" t="str">
        <f>IF(_480Dev[[#This Row],[480 Device]]="","",COUNTIF('480v Power'!$D$14:$EZ$50000,_480Dev[[#This Row],[480 Device]]))</f>
        <v/>
      </c>
      <c r="K74" s="141"/>
      <c r="N74" s="60" t="str">
        <f>IF(_120CblLgth[[#This Row],[120 Cable Length]]="","",COUNTIF('120v Power'!$B$14:$EZ$50000,_120CblLgth[[#This Row],[120 Cable Length]]))</f>
        <v/>
      </c>
      <c r="O74" s="81"/>
      <c r="R74" s="60" t="str">
        <f>IF(_120Dev[[#This Row],[120 Device]]="","",COUNTIF('120v Power'!$B$14:$EZ$50000,_120Dev[[#This Row],[120 Device]]))</f>
        <v/>
      </c>
      <c r="S74" s="141"/>
      <c r="V74" s="60" t="str">
        <f>IF(_24CblLgth[[#This Row],[24 Cable Length]]="","",COUNTIF('24v Power'!$B$14:$EZ$50000,_24CblLgth[[#This Row],[24 Cable Length]]))</f>
        <v/>
      </c>
      <c r="W74" s="141"/>
      <c r="Z74" s="60" t="str">
        <f>IF(_24Dev[[#This Row],[24 Device]]="","",COUNTIF('24v Power'!$B$14:$EZ$50000,_24Dev[[#This Row],[24 Device]]))</f>
        <v/>
      </c>
      <c r="AA74" s="141"/>
      <c r="AB74" s="82" t="s">
        <v>540</v>
      </c>
      <c r="AC74" s="82">
        <v>19466</v>
      </c>
      <c r="AD74" s="60">
        <f>IF(_ENetCblLgth[[#This Row],[ENet Cable Length]]="","",COUNTIF(Ethernet!$C$14:$EZ$50000,_ENetCblLgth[[#This Row],[ENet Cable Length]]))</f>
        <v>0</v>
      </c>
      <c r="AE74" s="81"/>
      <c r="AF74" s="91"/>
      <c r="AG74" s="141"/>
      <c r="AJ74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4" s="141"/>
      <c r="AN74" s="60" t="str">
        <f>IF(_SafeIODev[[#This Row],[Safe IO Device]]="","",COUNTIF('Safety IO'!$C$12:$EZ$50000,_SafeIODev[[#This Row],[Safe IO Device]]))</f>
        <v/>
      </c>
      <c r="AO74" s="141"/>
      <c r="AR74" s="60" t="str">
        <f>IF(_IODev[[#This Row],[IO Device]]="","",COUNTIF('Standard IO'!$C$12:$EZ$49995,_IODev[[#This Row],[IO Device]]))</f>
        <v/>
      </c>
    </row>
    <row r="75" spans="1:44" x14ac:dyDescent="0.3">
      <c r="A75" s="90"/>
      <c r="C75" s="141"/>
      <c r="F75" s="60" t="str">
        <f>IF(_480CblLgth[[#This Row],[480 Cable Length]]="","",COUNTIF('480v Power'!$D$14:$EZ$50000,_480CblLgth[[#This Row],[480 Cable Length]]))</f>
        <v/>
      </c>
      <c r="G75" s="141"/>
      <c r="J75" s="60" t="str">
        <f>IF(_480Dev[[#This Row],[480 Device]]="","",COUNTIF('480v Power'!$D$14:$EZ$50000,_480Dev[[#This Row],[480 Device]]))</f>
        <v/>
      </c>
      <c r="K75" s="141"/>
      <c r="N75" s="60" t="str">
        <f>IF(_120CblLgth[[#This Row],[120 Cable Length]]="","",COUNTIF('120v Power'!$B$14:$EZ$50000,_120CblLgth[[#This Row],[120 Cable Length]]))</f>
        <v/>
      </c>
      <c r="O75" s="81"/>
      <c r="R75" s="60" t="str">
        <f>IF(_120Dev[[#This Row],[120 Device]]="","",COUNTIF('120v Power'!$B$14:$EZ$50000,_120Dev[[#This Row],[120 Device]]))</f>
        <v/>
      </c>
      <c r="S75" s="141"/>
      <c r="V75" s="60" t="str">
        <f>IF(_24CblLgth[[#This Row],[24 Cable Length]]="","",COUNTIF('24v Power'!$B$14:$EZ$50000,_24CblLgth[[#This Row],[24 Cable Length]]))</f>
        <v/>
      </c>
      <c r="W75" s="141"/>
      <c r="Z75" s="60" t="str">
        <f>IF(_24Dev[[#This Row],[24 Device]]="","",COUNTIF('24v Power'!$B$14:$EZ$50000,_24Dev[[#This Row],[24 Device]]))</f>
        <v/>
      </c>
      <c r="AA75" s="141"/>
      <c r="AB75" s="82" t="s">
        <v>541</v>
      </c>
      <c r="AC75" s="82">
        <v>19467</v>
      </c>
      <c r="AD75" s="60">
        <f>IF(_ENetCblLgth[[#This Row],[ENet Cable Length]]="","",COUNTIF(Ethernet!$C$14:$EZ$50000,_ENetCblLgth[[#This Row],[ENet Cable Length]]))</f>
        <v>0</v>
      </c>
      <c r="AE75" s="81"/>
      <c r="AF75" s="91"/>
      <c r="AG75" s="141"/>
      <c r="AJ75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5" s="141"/>
      <c r="AN75" s="60" t="str">
        <f>IF(_SafeIODev[[#This Row],[Safe IO Device]]="","",COUNTIF('Safety IO'!$C$12:$EZ$50000,_SafeIODev[[#This Row],[Safe IO Device]]))</f>
        <v/>
      </c>
      <c r="AO75" s="141"/>
      <c r="AR75" s="60" t="str">
        <f>IF(_IODev[[#This Row],[IO Device]]="","",COUNTIF('Standard IO'!$C$12:$EZ$49995,_IODev[[#This Row],[IO Device]]))</f>
        <v/>
      </c>
    </row>
    <row r="76" spans="1:44" x14ac:dyDescent="0.3">
      <c r="A76" s="90"/>
      <c r="C76" s="141"/>
      <c r="F76" s="60" t="str">
        <f>IF(_480CblLgth[[#This Row],[480 Cable Length]]="","",COUNTIF('480v Power'!$D$14:$EZ$50000,_480CblLgth[[#This Row],[480 Cable Length]]))</f>
        <v/>
      </c>
      <c r="G76" s="141"/>
      <c r="J76" s="60" t="str">
        <f>IF(_480Dev[[#This Row],[480 Device]]="","",COUNTIF('480v Power'!$D$14:$EZ$50000,_480Dev[[#This Row],[480 Device]]))</f>
        <v/>
      </c>
      <c r="K76" s="141"/>
      <c r="N76" s="60" t="str">
        <f>IF(_120CblLgth[[#This Row],[120 Cable Length]]="","",COUNTIF('120v Power'!$B$14:$EZ$50000,_120CblLgth[[#This Row],[120 Cable Length]]))</f>
        <v/>
      </c>
      <c r="O76" s="81"/>
      <c r="R76" s="60" t="str">
        <f>IF(_120Dev[[#This Row],[120 Device]]="","",COUNTIF('120v Power'!$B$14:$EZ$50000,_120Dev[[#This Row],[120 Device]]))</f>
        <v/>
      </c>
      <c r="S76" s="141"/>
      <c r="V76" s="60" t="str">
        <f>IF(_24CblLgth[[#This Row],[24 Cable Length]]="","",COUNTIF('24v Power'!$B$14:$EZ$50000,_24CblLgth[[#This Row],[24 Cable Length]]))</f>
        <v/>
      </c>
      <c r="W76" s="141"/>
      <c r="Z76" s="60" t="str">
        <f>IF(_24Dev[[#This Row],[24 Device]]="","",COUNTIF('24v Power'!$B$14:$EZ$50000,_24Dev[[#This Row],[24 Device]]))</f>
        <v/>
      </c>
      <c r="AA76" s="141"/>
      <c r="AB76" s="82" t="s">
        <v>542</v>
      </c>
      <c r="AC76" s="82">
        <v>19468</v>
      </c>
      <c r="AD76" s="60">
        <f>IF(_ENetCblLgth[[#This Row],[ENet Cable Length]]="","",COUNTIF(Ethernet!$C$14:$EZ$50000,_ENetCblLgth[[#This Row],[ENet Cable Length]]))</f>
        <v>0</v>
      </c>
      <c r="AE76" s="81"/>
      <c r="AF76" s="91"/>
      <c r="AG76" s="141"/>
      <c r="AJ7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6" s="141"/>
      <c r="AN76" s="60" t="str">
        <f>IF(_SafeIODev[[#This Row],[Safe IO Device]]="","",COUNTIF('Safety IO'!$C$12:$EZ$50000,_SafeIODev[[#This Row],[Safe IO Device]]))</f>
        <v/>
      </c>
      <c r="AO76" s="141"/>
      <c r="AR76" s="60" t="str">
        <f>IF(_IODev[[#This Row],[IO Device]]="","",COUNTIF('Standard IO'!$C$12:$EZ$49995,_IODev[[#This Row],[IO Device]]))</f>
        <v/>
      </c>
    </row>
    <row r="77" spans="1:44" x14ac:dyDescent="0.3">
      <c r="A77" s="90"/>
      <c r="C77" s="141"/>
      <c r="F77" s="60" t="str">
        <f>IF(_480CblLgth[[#This Row],[480 Cable Length]]="","",COUNTIF('480v Power'!$D$14:$EZ$50000,_480CblLgth[[#This Row],[480 Cable Length]]))</f>
        <v/>
      </c>
      <c r="G77" s="141"/>
      <c r="J77" s="60" t="str">
        <f>IF(_480Dev[[#This Row],[480 Device]]="","",COUNTIF('480v Power'!$D$14:$EZ$50000,_480Dev[[#This Row],[480 Device]]))</f>
        <v/>
      </c>
      <c r="K77" s="141"/>
      <c r="N77" s="60" t="str">
        <f>IF(_120CblLgth[[#This Row],[120 Cable Length]]="","",COUNTIF('120v Power'!$B$14:$EZ$50000,_120CblLgth[[#This Row],[120 Cable Length]]))</f>
        <v/>
      </c>
      <c r="O77" s="81"/>
      <c r="R77" s="60" t="str">
        <f>IF(_120Dev[[#This Row],[120 Device]]="","",COUNTIF('120v Power'!$B$14:$EZ$50000,_120Dev[[#This Row],[120 Device]]))</f>
        <v/>
      </c>
      <c r="S77" s="141"/>
      <c r="V77" s="60" t="str">
        <f>IF(_24CblLgth[[#This Row],[24 Cable Length]]="","",COUNTIF('24v Power'!$B$14:$EZ$50000,_24CblLgth[[#This Row],[24 Cable Length]]))</f>
        <v/>
      </c>
      <c r="W77" s="141"/>
      <c r="Z77" s="60" t="str">
        <f>IF(_24Dev[[#This Row],[24 Device]]="","",COUNTIF('24v Power'!$B$14:$EZ$50000,_24Dev[[#This Row],[24 Device]]))</f>
        <v/>
      </c>
      <c r="AA77" s="141"/>
      <c r="AB77" s="82" t="s">
        <v>543</v>
      </c>
      <c r="AC77" s="82">
        <v>19469</v>
      </c>
      <c r="AD77" s="60">
        <f>IF(_ENetCblLgth[[#This Row],[ENet Cable Length]]="","",COUNTIF(Ethernet!$C$14:$EZ$50000,_ENetCblLgth[[#This Row],[ENet Cable Length]]))</f>
        <v>0</v>
      </c>
      <c r="AE77" s="81"/>
      <c r="AF77" s="91"/>
      <c r="AG77" s="141"/>
      <c r="AJ7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7" s="141"/>
      <c r="AN77" s="60" t="str">
        <f>IF(_SafeIODev[[#This Row],[Safe IO Device]]="","",COUNTIF('Safety IO'!$C$12:$EZ$50000,_SafeIODev[[#This Row],[Safe IO Device]]))</f>
        <v/>
      </c>
      <c r="AO77" s="141"/>
      <c r="AR77" s="60" t="str">
        <f>IF(_IODev[[#This Row],[IO Device]]="","",COUNTIF('Standard IO'!$C$12:$EZ$49995,_IODev[[#This Row],[IO Device]]))</f>
        <v/>
      </c>
    </row>
    <row r="78" spans="1:44" x14ac:dyDescent="0.3">
      <c r="A78" s="90"/>
      <c r="C78" s="141"/>
      <c r="F78" s="60" t="str">
        <f>IF(_480CblLgth[[#This Row],[480 Cable Length]]="","",COUNTIF('480v Power'!$D$14:$EZ$50000,_480CblLgth[[#This Row],[480 Cable Length]]))</f>
        <v/>
      </c>
      <c r="G78" s="141"/>
      <c r="J78" s="60" t="str">
        <f>IF(_480Dev[[#This Row],[480 Device]]="","",COUNTIF('480v Power'!$D$14:$EZ$50000,_480Dev[[#This Row],[480 Device]]))</f>
        <v/>
      </c>
      <c r="K78" s="141"/>
      <c r="N78" s="60" t="str">
        <f>IF(_120CblLgth[[#This Row],[120 Cable Length]]="","",COUNTIF('120v Power'!$B$14:$EZ$50000,_120CblLgth[[#This Row],[120 Cable Length]]))</f>
        <v/>
      </c>
      <c r="O78" s="81"/>
      <c r="R78" s="60" t="str">
        <f>IF(_120Dev[[#This Row],[120 Device]]="","",COUNTIF('120v Power'!$B$14:$EZ$50000,_120Dev[[#This Row],[120 Device]]))</f>
        <v/>
      </c>
      <c r="S78" s="141"/>
      <c r="V78" s="60" t="str">
        <f>IF(_24CblLgth[[#This Row],[24 Cable Length]]="","",COUNTIF('24v Power'!$B$14:$EZ$50000,_24CblLgth[[#This Row],[24 Cable Length]]))</f>
        <v/>
      </c>
      <c r="W78" s="141"/>
      <c r="Z78" s="60" t="str">
        <f>IF(_24Dev[[#This Row],[24 Device]]="","",COUNTIF('24v Power'!$B$14:$EZ$50000,_24Dev[[#This Row],[24 Device]]))</f>
        <v/>
      </c>
      <c r="AA78" s="141"/>
      <c r="AB78" s="82" t="s">
        <v>544</v>
      </c>
      <c r="AC78" s="82">
        <v>19470</v>
      </c>
      <c r="AD78" s="60">
        <f>IF(_ENetCblLgth[[#This Row],[ENet Cable Length]]="","",COUNTIF(Ethernet!$C$14:$EZ$50000,_ENetCblLgth[[#This Row],[ENet Cable Length]]))</f>
        <v>0</v>
      </c>
      <c r="AE78" s="81"/>
      <c r="AF78" s="91"/>
      <c r="AG78" s="141"/>
      <c r="AJ7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8" s="141"/>
      <c r="AN78" s="60" t="str">
        <f>IF(_SafeIODev[[#This Row],[Safe IO Device]]="","",COUNTIF('Safety IO'!$C$12:$EZ$50000,_SafeIODev[[#This Row],[Safe IO Device]]))</f>
        <v/>
      </c>
      <c r="AO78" s="141"/>
      <c r="AR78" s="60" t="str">
        <f>IF(_IODev[[#This Row],[IO Device]]="","",COUNTIF('Standard IO'!$C$12:$EZ$49995,_IODev[[#This Row],[IO Device]]))</f>
        <v/>
      </c>
    </row>
    <row r="79" spans="1:44" x14ac:dyDescent="0.3">
      <c r="A79" s="90"/>
      <c r="C79" s="141"/>
      <c r="F79" s="60" t="str">
        <f>IF(_480CblLgth[[#This Row],[480 Cable Length]]="","",COUNTIF('480v Power'!$D$14:$EZ$50000,_480CblLgth[[#This Row],[480 Cable Length]]))</f>
        <v/>
      </c>
      <c r="G79" s="141"/>
      <c r="J79" s="60" t="str">
        <f>IF(_480Dev[[#This Row],[480 Device]]="","",COUNTIF('480v Power'!$D$14:$EZ$50000,_480Dev[[#This Row],[480 Device]]))</f>
        <v/>
      </c>
      <c r="K79" s="141"/>
      <c r="N79" s="60" t="str">
        <f>IF(_120CblLgth[[#This Row],[120 Cable Length]]="","",COUNTIF('120v Power'!$B$14:$EZ$50000,_120CblLgth[[#This Row],[120 Cable Length]]))</f>
        <v/>
      </c>
      <c r="O79" s="81"/>
      <c r="R79" s="60" t="str">
        <f>IF(_120Dev[[#This Row],[120 Device]]="","",COUNTIF('120v Power'!$B$14:$EZ$50000,_120Dev[[#This Row],[120 Device]]))</f>
        <v/>
      </c>
      <c r="S79" s="141"/>
      <c r="V79" s="60" t="str">
        <f>IF(_24CblLgth[[#This Row],[24 Cable Length]]="","",COUNTIF('24v Power'!$B$14:$EZ$50000,_24CblLgth[[#This Row],[24 Cable Length]]))</f>
        <v/>
      </c>
      <c r="W79" s="141"/>
      <c r="Z79" s="60" t="str">
        <f>IF(_24Dev[[#This Row],[24 Device]]="","",COUNTIF('24v Power'!$B$14:$EZ$50000,_24Dev[[#This Row],[24 Device]]))</f>
        <v/>
      </c>
      <c r="AA79" s="141"/>
      <c r="AB79" s="82" t="s">
        <v>545</v>
      </c>
      <c r="AC79" s="82">
        <v>19471</v>
      </c>
      <c r="AD79" s="60">
        <f>IF(_ENetCblLgth[[#This Row],[ENet Cable Length]]="","",COUNTIF(Ethernet!$C$14:$EZ$50000,_ENetCblLgth[[#This Row],[ENet Cable Length]]))</f>
        <v>0</v>
      </c>
      <c r="AE79" s="81"/>
      <c r="AF79" s="91"/>
      <c r="AG79" s="141"/>
      <c r="AJ7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79" s="141"/>
      <c r="AN79" s="60" t="str">
        <f>IF(_SafeIODev[[#This Row],[Safe IO Device]]="","",COUNTIF('Safety IO'!$C$12:$EZ$50000,_SafeIODev[[#This Row],[Safe IO Device]]))</f>
        <v/>
      </c>
      <c r="AO79" s="141"/>
      <c r="AR79" s="60" t="str">
        <f>IF(_IODev[[#This Row],[IO Device]]="","",COUNTIF('Standard IO'!$C$12:$EZ$49995,_IODev[[#This Row],[IO Device]]))</f>
        <v/>
      </c>
    </row>
    <row r="80" spans="1:44" x14ac:dyDescent="0.3">
      <c r="A80" s="90"/>
      <c r="C80" s="141"/>
      <c r="F80" s="60" t="str">
        <f>IF(_480CblLgth[[#This Row],[480 Cable Length]]="","",COUNTIF('480v Power'!$D$14:$EZ$50000,_480CblLgth[[#This Row],[480 Cable Length]]))</f>
        <v/>
      </c>
      <c r="G80" s="141"/>
      <c r="J80" s="60" t="str">
        <f>IF(_480Dev[[#This Row],[480 Device]]="","",COUNTIF('480v Power'!$D$14:$EZ$50000,_480Dev[[#This Row],[480 Device]]))</f>
        <v/>
      </c>
      <c r="K80" s="141"/>
      <c r="N80" s="60" t="str">
        <f>IF(_120CblLgth[[#This Row],[120 Cable Length]]="","",COUNTIF('120v Power'!$B$14:$EZ$50000,_120CblLgth[[#This Row],[120 Cable Length]]))</f>
        <v/>
      </c>
      <c r="O80" s="81"/>
      <c r="R80" s="60" t="str">
        <f>IF(_120Dev[[#This Row],[120 Device]]="","",COUNTIF('120v Power'!$B$14:$EZ$50000,_120Dev[[#This Row],[120 Device]]))</f>
        <v/>
      </c>
      <c r="S80" s="141"/>
      <c r="V80" s="60" t="str">
        <f>IF(_24CblLgth[[#This Row],[24 Cable Length]]="","",COUNTIF('24v Power'!$B$14:$EZ$50000,_24CblLgth[[#This Row],[24 Cable Length]]))</f>
        <v/>
      </c>
      <c r="W80" s="141"/>
      <c r="Z80" s="60" t="str">
        <f>IF(_24Dev[[#This Row],[24 Device]]="","",COUNTIF('24v Power'!$B$14:$EZ$50000,_24Dev[[#This Row],[24 Device]]))</f>
        <v/>
      </c>
      <c r="AA80" s="141"/>
      <c r="AB80" s="82" t="s">
        <v>546</v>
      </c>
      <c r="AC80" s="82">
        <v>19472</v>
      </c>
      <c r="AD80" s="60">
        <f>IF(_ENetCblLgth[[#This Row],[ENet Cable Length]]="","",COUNTIF(Ethernet!$C$14:$EZ$50000,_ENetCblLgth[[#This Row],[ENet Cable Length]]))</f>
        <v>0</v>
      </c>
      <c r="AE80" s="81"/>
      <c r="AF80" s="91"/>
      <c r="AG80" s="141"/>
      <c r="AJ8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0" s="141"/>
      <c r="AN80" s="60" t="str">
        <f>IF(_SafeIODev[[#This Row],[Safe IO Device]]="","",COUNTIF('Safety IO'!$C$12:$EZ$50000,_SafeIODev[[#This Row],[Safe IO Device]]))</f>
        <v/>
      </c>
      <c r="AO80" s="141"/>
      <c r="AR80" s="60" t="str">
        <f>IF(_IODev[[#This Row],[IO Device]]="","",COUNTIF('Standard IO'!$C$12:$EZ$49995,_IODev[[#This Row],[IO Device]]))</f>
        <v/>
      </c>
    </row>
    <row r="81" spans="1:44" x14ac:dyDescent="0.3">
      <c r="A81" s="90"/>
      <c r="C81" s="141"/>
      <c r="F81" s="60" t="str">
        <f>IF(_480CblLgth[[#This Row],[480 Cable Length]]="","",COUNTIF('480v Power'!$D$14:$EZ$50000,_480CblLgth[[#This Row],[480 Cable Length]]))</f>
        <v/>
      </c>
      <c r="G81" s="141"/>
      <c r="J81" s="60" t="str">
        <f>IF(_480Dev[[#This Row],[480 Device]]="","",COUNTIF('480v Power'!$D$14:$EZ$50000,_480Dev[[#This Row],[480 Device]]))</f>
        <v/>
      </c>
      <c r="K81" s="141"/>
      <c r="N81" s="60" t="str">
        <f>IF(_120CblLgth[[#This Row],[120 Cable Length]]="","",COUNTIF('120v Power'!$B$14:$EZ$50000,_120CblLgth[[#This Row],[120 Cable Length]]))</f>
        <v/>
      </c>
      <c r="O81" s="81"/>
      <c r="R81" s="60" t="str">
        <f>IF(_120Dev[[#This Row],[120 Device]]="","",COUNTIF('120v Power'!$B$14:$EZ$50000,_120Dev[[#This Row],[120 Device]]))</f>
        <v/>
      </c>
      <c r="S81" s="141"/>
      <c r="V81" s="60" t="str">
        <f>IF(_24CblLgth[[#This Row],[24 Cable Length]]="","",COUNTIF('24v Power'!$B$14:$EZ$50000,_24CblLgth[[#This Row],[24 Cable Length]]))</f>
        <v/>
      </c>
      <c r="W81" s="141"/>
      <c r="Z81" s="60" t="str">
        <f>IF(_24Dev[[#This Row],[24 Device]]="","",COUNTIF('24v Power'!$B$14:$EZ$50000,_24Dev[[#This Row],[24 Device]]))</f>
        <v/>
      </c>
      <c r="AA81" s="141"/>
      <c r="AB81" s="82" t="s">
        <v>547</v>
      </c>
      <c r="AC81" s="82">
        <v>19473</v>
      </c>
      <c r="AD81" s="60">
        <f>IF(_ENetCblLgth[[#This Row],[ENet Cable Length]]="","",COUNTIF(Ethernet!$C$14:$EZ$50000,_ENetCblLgth[[#This Row],[ENet Cable Length]]))</f>
        <v>0</v>
      </c>
      <c r="AE81" s="81"/>
      <c r="AF81" s="91"/>
      <c r="AG81" s="141"/>
      <c r="AJ8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1" s="141"/>
      <c r="AN81" s="60" t="str">
        <f>IF(_SafeIODev[[#This Row],[Safe IO Device]]="","",COUNTIF('Safety IO'!$C$12:$EZ$50000,_SafeIODev[[#This Row],[Safe IO Device]]))</f>
        <v/>
      </c>
      <c r="AO81" s="141"/>
      <c r="AR81" s="60" t="str">
        <f>IF(_IODev[[#This Row],[IO Device]]="","",COUNTIF('Standard IO'!$C$12:$EZ$49995,_IODev[[#This Row],[IO Device]]))</f>
        <v/>
      </c>
    </row>
    <row r="82" spans="1:44" x14ac:dyDescent="0.3">
      <c r="A82" s="90"/>
      <c r="C82" s="141"/>
      <c r="F82" s="60" t="str">
        <f>IF(_480CblLgth[[#This Row],[480 Cable Length]]="","",COUNTIF('480v Power'!$D$14:$EZ$50000,_480CblLgth[[#This Row],[480 Cable Length]]))</f>
        <v/>
      </c>
      <c r="G82" s="141"/>
      <c r="J82" s="60" t="str">
        <f>IF(_480Dev[[#This Row],[480 Device]]="","",COUNTIF('480v Power'!$D$14:$EZ$50000,_480Dev[[#This Row],[480 Device]]))</f>
        <v/>
      </c>
      <c r="K82" s="141"/>
      <c r="N82" s="60" t="str">
        <f>IF(_120CblLgth[[#This Row],[120 Cable Length]]="","",COUNTIF('120v Power'!$B$14:$EZ$50000,_120CblLgth[[#This Row],[120 Cable Length]]))</f>
        <v/>
      </c>
      <c r="O82" s="81"/>
      <c r="R82" s="60" t="str">
        <f>IF(_120Dev[[#This Row],[120 Device]]="","",COUNTIF('120v Power'!$B$14:$EZ$50000,_120Dev[[#This Row],[120 Device]]))</f>
        <v/>
      </c>
      <c r="S82" s="141"/>
      <c r="V82" s="60" t="str">
        <f>IF(_24CblLgth[[#This Row],[24 Cable Length]]="","",COUNTIF('24v Power'!$B$14:$EZ$50000,_24CblLgth[[#This Row],[24 Cable Length]]))</f>
        <v/>
      </c>
      <c r="W82" s="141"/>
      <c r="Z82" s="60" t="str">
        <f>IF(_24Dev[[#This Row],[24 Device]]="","",COUNTIF('24v Power'!$B$14:$EZ$50000,_24Dev[[#This Row],[24 Device]]))</f>
        <v/>
      </c>
      <c r="AA82" s="141"/>
      <c r="AB82" s="82" t="s">
        <v>548</v>
      </c>
      <c r="AC82" s="82">
        <v>19474</v>
      </c>
      <c r="AD82" s="60">
        <f>IF(_ENetCblLgth[[#This Row],[ENet Cable Length]]="","",COUNTIF(Ethernet!$C$14:$EZ$50000,_ENetCblLgth[[#This Row],[ENet Cable Length]]))</f>
        <v>0</v>
      </c>
      <c r="AE82" s="81"/>
      <c r="AF82" s="91"/>
      <c r="AG82" s="141"/>
      <c r="AJ82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2" s="141"/>
      <c r="AN82" s="60" t="str">
        <f>IF(_SafeIODev[[#This Row],[Safe IO Device]]="","",COUNTIF('Safety IO'!$C$12:$EZ$50000,_SafeIODev[[#This Row],[Safe IO Device]]))</f>
        <v/>
      </c>
      <c r="AO82" s="141"/>
      <c r="AR82" s="60" t="str">
        <f>IF(_IODev[[#This Row],[IO Device]]="","",COUNTIF('Standard IO'!$C$12:$EZ$49995,_IODev[[#This Row],[IO Device]]))</f>
        <v/>
      </c>
    </row>
    <row r="83" spans="1:44" x14ac:dyDescent="0.3">
      <c r="A83" s="90"/>
      <c r="C83" s="141"/>
      <c r="F83" s="60" t="str">
        <f>IF(_480CblLgth[[#This Row],[480 Cable Length]]="","",COUNTIF('480v Power'!$D$14:$EZ$50000,_480CblLgth[[#This Row],[480 Cable Length]]))</f>
        <v/>
      </c>
      <c r="G83" s="141"/>
      <c r="J83" s="60" t="str">
        <f>IF(_480Dev[[#This Row],[480 Device]]="","",COUNTIF('480v Power'!$D$14:$EZ$50000,_480Dev[[#This Row],[480 Device]]))</f>
        <v/>
      </c>
      <c r="K83" s="141"/>
      <c r="N83" s="60" t="str">
        <f>IF(_120CblLgth[[#This Row],[120 Cable Length]]="","",COUNTIF('120v Power'!$B$14:$EZ$50000,_120CblLgth[[#This Row],[120 Cable Length]]))</f>
        <v/>
      </c>
      <c r="O83" s="81"/>
      <c r="R83" s="60" t="str">
        <f>IF(_120Dev[[#This Row],[120 Device]]="","",COUNTIF('120v Power'!$B$14:$EZ$50000,_120Dev[[#This Row],[120 Device]]))</f>
        <v/>
      </c>
      <c r="S83" s="141"/>
      <c r="V83" s="60" t="str">
        <f>IF(_24CblLgth[[#This Row],[24 Cable Length]]="","",COUNTIF('24v Power'!$B$14:$EZ$50000,_24CblLgth[[#This Row],[24 Cable Length]]))</f>
        <v/>
      </c>
      <c r="W83" s="141"/>
      <c r="Z83" s="60" t="str">
        <f>IF(_24Dev[[#This Row],[24 Device]]="","",COUNTIF('24v Power'!$B$14:$EZ$50000,_24Dev[[#This Row],[24 Device]]))</f>
        <v/>
      </c>
      <c r="AA83" s="141"/>
      <c r="AB83" s="82" t="s">
        <v>549</v>
      </c>
      <c r="AC83" s="82">
        <v>19475</v>
      </c>
      <c r="AD83" s="60">
        <f>IF(_ENetCblLgth[[#This Row],[ENet Cable Length]]="","",COUNTIF(Ethernet!$C$14:$EZ$50000,_ENetCblLgth[[#This Row],[ENet Cable Length]]))</f>
        <v>0</v>
      </c>
      <c r="AE83" s="81"/>
      <c r="AF83" s="91"/>
      <c r="AG83" s="141"/>
      <c r="AJ83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3" s="141"/>
      <c r="AN83" s="60" t="str">
        <f>IF(_SafeIODev[[#This Row],[Safe IO Device]]="","",COUNTIF('Safety IO'!$C$12:$EZ$50000,_SafeIODev[[#This Row],[Safe IO Device]]))</f>
        <v/>
      </c>
      <c r="AO83" s="141"/>
      <c r="AR83" s="60" t="str">
        <f>IF(_IODev[[#This Row],[IO Device]]="","",COUNTIF('Standard IO'!$C$12:$EZ$49995,_IODev[[#This Row],[IO Device]]))</f>
        <v/>
      </c>
    </row>
    <row r="84" spans="1:44" x14ac:dyDescent="0.3">
      <c r="A84" s="90"/>
      <c r="C84" s="141"/>
      <c r="F84" s="60" t="str">
        <f>IF(_480CblLgth[[#This Row],[480 Cable Length]]="","",COUNTIF('480v Power'!$D$14:$EZ$50000,_480CblLgth[[#This Row],[480 Cable Length]]))</f>
        <v/>
      </c>
      <c r="G84" s="141"/>
      <c r="J84" s="60" t="str">
        <f>IF(_480Dev[[#This Row],[480 Device]]="","",COUNTIF('480v Power'!$D$14:$EZ$50000,_480Dev[[#This Row],[480 Device]]))</f>
        <v/>
      </c>
      <c r="K84" s="141"/>
      <c r="N84" s="60" t="str">
        <f>IF(_120CblLgth[[#This Row],[120 Cable Length]]="","",COUNTIF('120v Power'!$B$14:$EZ$50000,_120CblLgth[[#This Row],[120 Cable Length]]))</f>
        <v/>
      </c>
      <c r="O84" s="81"/>
      <c r="R84" s="60" t="str">
        <f>IF(_120Dev[[#This Row],[120 Device]]="","",COUNTIF('120v Power'!$B$14:$EZ$50000,_120Dev[[#This Row],[120 Device]]))</f>
        <v/>
      </c>
      <c r="S84" s="141"/>
      <c r="V84" s="60" t="str">
        <f>IF(_24CblLgth[[#This Row],[24 Cable Length]]="","",COUNTIF('24v Power'!$B$14:$EZ$50000,_24CblLgth[[#This Row],[24 Cable Length]]))</f>
        <v/>
      </c>
      <c r="W84" s="141"/>
      <c r="Z84" s="60" t="str">
        <f>IF(_24Dev[[#This Row],[24 Device]]="","",COUNTIF('24v Power'!$B$14:$EZ$50000,_24Dev[[#This Row],[24 Device]]))</f>
        <v/>
      </c>
      <c r="AA84" s="141"/>
      <c r="AB84" s="82" t="s">
        <v>550</v>
      </c>
      <c r="AC84" s="82">
        <v>19476</v>
      </c>
      <c r="AD84" s="60">
        <f>IF(_ENetCblLgth[[#This Row],[ENet Cable Length]]="","",COUNTIF(Ethernet!$C$14:$EZ$50000,_ENetCblLgth[[#This Row],[ENet Cable Length]]))</f>
        <v>0</v>
      </c>
      <c r="AE84" s="81"/>
      <c r="AF84" s="91"/>
      <c r="AG84" s="141"/>
      <c r="AJ84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4" s="141"/>
      <c r="AN84" s="60" t="str">
        <f>IF(_SafeIODev[[#This Row],[Safe IO Device]]="","",COUNTIF('Safety IO'!$C$12:$EZ$50000,_SafeIODev[[#This Row],[Safe IO Device]]))</f>
        <v/>
      </c>
      <c r="AO84" s="141"/>
      <c r="AR84" s="60" t="str">
        <f>IF(_IODev[[#This Row],[IO Device]]="","",COUNTIF('Standard IO'!$C$12:$EZ$49995,_IODev[[#This Row],[IO Device]]))</f>
        <v/>
      </c>
    </row>
    <row r="85" spans="1:44" x14ac:dyDescent="0.3">
      <c r="A85" s="90"/>
      <c r="C85" s="141"/>
      <c r="F85" s="60" t="str">
        <f>IF(_480CblLgth[[#This Row],[480 Cable Length]]="","",COUNTIF('480v Power'!$D$14:$EZ$50000,_480CblLgth[[#This Row],[480 Cable Length]]))</f>
        <v/>
      </c>
      <c r="G85" s="141"/>
      <c r="J85" s="60" t="str">
        <f>IF(_480Dev[[#This Row],[480 Device]]="","",COUNTIF('480v Power'!$D$14:$EZ$50000,_480Dev[[#This Row],[480 Device]]))</f>
        <v/>
      </c>
      <c r="K85" s="141"/>
      <c r="N85" s="60" t="str">
        <f>IF(_120CblLgth[[#This Row],[120 Cable Length]]="","",COUNTIF('120v Power'!$B$14:$EZ$50000,_120CblLgth[[#This Row],[120 Cable Length]]))</f>
        <v/>
      </c>
      <c r="O85" s="81"/>
      <c r="R85" s="60" t="str">
        <f>IF(_120Dev[[#This Row],[120 Device]]="","",COUNTIF('120v Power'!$B$14:$EZ$50000,_120Dev[[#This Row],[120 Device]]))</f>
        <v/>
      </c>
      <c r="S85" s="141"/>
      <c r="V85" s="60" t="str">
        <f>IF(_24CblLgth[[#This Row],[24 Cable Length]]="","",COUNTIF('24v Power'!$B$14:$EZ$50000,_24CblLgth[[#This Row],[24 Cable Length]]))</f>
        <v/>
      </c>
      <c r="W85" s="141"/>
      <c r="Z85" s="60" t="str">
        <f>IF(_24Dev[[#This Row],[24 Device]]="","",COUNTIF('24v Power'!$B$14:$EZ$50000,_24Dev[[#This Row],[24 Device]]))</f>
        <v/>
      </c>
      <c r="AA85" s="141"/>
      <c r="AB85" s="82" t="s">
        <v>551</v>
      </c>
      <c r="AC85" s="82">
        <v>19477</v>
      </c>
      <c r="AD85" s="60">
        <f>IF(_ENetCblLgth[[#This Row],[ENet Cable Length]]="","",COUNTIF(Ethernet!$C$14:$EZ$50000,_ENetCblLgth[[#This Row],[ENet Cable Length]]))</f>
        <v>0</v>
      </c>
      <c r="AE85" s="81"/>
      <c r="AF85" s="91"/>
      <c r="AG85" s="141"/>
      <c r="AJ85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5" s="141"/>
      <c r="AN85" s="60" t="str">
        <f>IF(_SafeIODev[[#This Row],[Safe IO Device]]="","",COUNTIF('Safety IO'!$C$12:$EZ$50000,_SafeIODev[[#This Row],[Safe IO Device]]))</f>
        <v/>
      </c>
      <c r="AO85" s="141"/>
      <c r="AR85" s="60" t="str">
        <f>IF(_IODev[[#This Row],[IO Device]]="","",COUNTIF('Standard IO'!$C$12:$EZ$49995,_IODev[[#This Row],[IO Device]]))</f>
        <v/>
      </c>
    </row>
    <row r="86" spans="1:44" x14ac:dyDescent="0.3">
      <c r="A86" s="90"/>
      <c r="C86" s="141"/>
      <c r="F86" s="60" t="str">
        <f>IF(_480CblLgth[[#This Row],[480 Cable Length]]="","",COUNTIF('480v Power'!$D$14:$EZ$50000,_480CblLgth[[#This Row],[480 Cable Length]]))</f>
        <v/>
      </c>
      <c r="G86" s="141"/>
      <c r="J86" s="60" t="str">
        <f>IF(_480Dev[[#This Row],[480 Device]]="","",COUNTIF('480v Power'!$D$14:$EZ$50000,_480Dev[[#This Row],[480 Device]]))</f>
        <v/>
      </c>
      <c r="K86" s="141"/>
      <c r="N86" s="60" t="str">
        <f>IF(_120CblLgth[[#This Row],[120 Cable Length]]="","",COUNTIF('120v Power'!$B$14:$EZ$50000,_120CblLgth[[#This Row],[120 Cable Length]]))</f>
        <v/>
      </c>
      <c r="O86" s="81"/>
      <c r="R86" s="60" t="str">
        <f>IF(_120Dev[[#This Row],[120 Device]]="","",COUNTIF('120v Power'!$B$14:$EZ$50000,_120Dev[[#This Row],[120 Device]]))</f>
        <v/>
      </c>
      <c r="S86" s="141"/>
      <c r="V86" s="60" t="str">
        <f>IF(_24CblLgth[[#This Row],[24 Cable Length]]="","",COUNTIF('24v Power'!$B$14:$EZ$50000,_24CblLgth[[#This Row],[24 Cable Length]]))</f>
        <v/>
      </c>
      <c r="W86" s="141"/>
      <c r="Z86" s="60" t="str">
        <f>IF(_24Dev[[#This Row],[24 Device]]="","",COUNTIF('24v Power'!$B$14:$EZ$50000,_24Dev[[#This Row],[24 Device]]))</f>
        <v/>
      </c>
      <c r="AA86" s="141"/>
      <c r="AB86" s="82" t="s">
        <v>552</v>
      </c>
      <c r="AC86" s="82">
        <v>19478</v>
      </c>
      <c r="AD86" s="60">
        <f>IF(_ENetCblLgth[[#This Row],[ENet Cable Length]]="","",COUNTIF(Ethernet!$C$14:$EZ$50000,_ENetCblLgth[[#This Row],[ENet Cable Length]]))</f>
        <v>0</v>
      </c>
      <c r="AE86" s="81"/>
      <c r="AF86" s="91"/>
      <c r="AG86" s="141"/>
      <c r="AJ8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6" s="141"/>
      <c r="AN86" s="60" t="str">
        <f>IF(_SafeIODev[[#This Row],[Safe IO Device]]="","",COUNTIF('Safety IO'!$C$12:$EZ$50000,_SafeIODev[[#This Row],[Safe IO Device]]))</f>
        <v/>
      </c>
      <c r="AO86" s="141"/>
      <c r="AR86" s="60" t="str">
        <f>IF(_IODev[[#This Row],[IO Device]]="","",COUNTIF('Standard IO'!$C$12:$EZ$49995,_IODev[[#This Row],[IO Device]]))</f>
        <v/>
      </c>
    </row>
    <row r="87" spans="1:44" x14ac:dyDescent="0.3">
      <c r="A87" s="90"/>
      <c r="C87" s="141"/>
      <c r="F87" s="60" t="str">
        <f>IF(_480CblLgth[[#This Row],[480 Cable Length]]="","",COUNTIF('480v Power'!$D$14:$EZ$50000,_480CblLgth[[#This Row],[480 Cable Length]]))</f>
        <v/>
      </c>
      <c r="G87" s="141"/>
      <c r="J87" s="60" t="str">
        <f>IF(_480Dev[[#This Row],[480 Device]]="","",COUNTIF('480v Power'!$D$14:$EZ$50000,_480Dev[[#This Row],[480 Device]]))</f>
        <v/>
      </c>
      <c r="K87" s="141"/>
      <c r="N87" s="60" t="str">
        <f>IF(_120CblLgth[[#This Row],[120 Cable Length]]="","",COUNTIF('120v Power'!$B$14:$EZ$50000,_120CblLgth[[#This Row],[120 Cable Length]]))</f>
        <v/>
      </c>
      <c r="O87" s="81"/>
      <c r="R87" s="60" t="str">
        <f>IF(_120Dev[[#This Row],[120 Device]]="","",COUNTIF('120v Power'!$B$14:$EZ$50000,_120Dev[[#This Row],[120 Device]]))</f>
        <v/>
      </c>
      <c r="S87" s="141"/>
      <c r="V87" s="60" t="str">
        <f>IF(_24CblLgth[[#This Row],[24 Cable Length]]="","",COUNTIF('24v Power'!$B$14:$EZ$50000,_24CblLgth[[#This Row],[24 Cable Length]]))</f>
        <v/>
      </c>
      <c r="W87" s="141"/>
      <c r="Z87" s="60" t="str">
        <f>IF(_24Dev[[#This Row],[24 Device]]="","",COUNTIF('24v Power'!$B$14:$EZ$50000,_24Dev[[#This Row],[24 Device]]))</f>
        <v/>
      </c>
      <c r="AA87" s="141"/>
      <c r="AB87" s="82" t="s">
        <v>553</v>
      </c>
      <c r="AC87" s="82">
        <v>19479</v>
      </c>
      <c r="AD87" s="60">
        <f>IF(_ENetCblLgth[[#This Row],[ENet Cable Length]]="","",COUNTIF(Ethernet!$C$14:$EZ$50000,_ENetCblLgth[[#This Row],[ENet Cable Length]]))</f>
        <v>0</v>
      </c>
      <c r="AE87" s="81"/>
      <c r="AF87" s="91"/>
      <c r="AG87" s="141"/>
      <c r="AJ8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7" s="141"/>
      <c r="AN87" s="60" t="str">
        <f>IF(_SafeIODev[[#This Row],[Safe IO Device]]="","",COUNTIF('Safety IO'!$C$12:$EZ$50000,_SafeIODev[[#This Row],[Safe IO Device]]))</f>
        <v/>
      </c>
      <c r="AO87" s="141"/>
      <c r="AR87" s="60" t="str">
        <f>IF(_IODev[[#This Row],[IO Device]]="","",COUNTIF('Standard IO'!$C$12:$EZ$49995,_IODev[[#This Row],[IO Device]]))</f>
        <v/>
      </c>
    </row>
    <row r="88" spans="1:44" x14ac:dyDescent="0.3">
      <c r="A88" s="90"/>
      <c r="C88" s="141"/>
      <c r="F88" s="60" t="str">
        <f>IF(_480CblLgth[[#This Row],[480 Cable Length]]="","",COUNTIF('480v Power'!$D$14:$EZ$50000,_480CblLgth[[#This Row],[480 Cable Length]]))</f>
        <v/>
      </c>
      <c r="G88" s="141"/>
      <c r="J88" s="60" t="str">
        <f>IF(_480Dev[[#This Row],[480 Device]]="","",COUNTIF('480v Power'!$D$14:$EZ$50000,_480Dev[[#This Row],[480 Device]]))</f>
        <v/>
      </c>
      <c r="K88" s="141"/>
      <c r="N88" s="60" t="str">
        <f>IF(_120CblLgth[[#This Row],[120 Cable Length]]="","",COUNTIF('120v Power'!$B$14:$EZ$50000,_120CblLgth[[#This Row],[120 Cable Length]]))</f>
        <v/>
      </c>
      <c r="O88" s="81"/>
      <c r="R88" s="60" t="str">
        <f>IF(_120Dev[[#This Row],[120 Device]]="","",COUNTIF('120v Power'!$B$14:$EZ$50000,_120Dev[[#This Row],[120 Device]]))</f>
        <v/>
      </c>
      <c r="S88" s="141"/>
      <c r="V88" s="60" t="str">
        <f>IF(_24CblLgth[[#This Row],[24 Cable Length]]="","",COUNTIF('24v Power'!$B$14:$EZ$50000,_24CblLgth[[#This Row],[24 Cable Length]]))</f>
        <v/>
      </c>
      <c r="W88" s="141"/>
      <c r="Z88" s="60" t="str">
        <f>IF(_24Dev[[#This Row],[24 Device]]="","",COUNTIF('24v Power'!$B$14:$EZ$50000,_24Dev[[#This Row],[24 Device]]))</f>
        <v/>
      </c>
      <c r="AA88" s="141"/>
      <c r="AB88" s="82" t="s">
        <v>554</v>
      </c>
      <c r="AC88" s="82">
        <v>19480</v>
      </c>
      <c r="AD88" s="60">
        <f>IF(_ENetCblLgth[[#This Row],[ENet Cable Length]]="","",COUNTIF(Ethernet!$C$14:$EZ$50000,_ENetCblLgth[[#This Row],[ENet Cable Length]]))</f>
        <v>0</v>
      </c>
      <c r="AE88" s="81"/>
      <c r="AF88" s="91"/>
      <c r="AG88" s="141"/>
      <c r="AJ8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8" s="141"/>
      <c r="AN88" s="60" t="str">
        <f>IF(_SafeIODev[[#This Row],[Safe IO Device]]="","",COUNTIF('Safety IO'!$C$12:$EZ$50000,_SafeIODev[[#This Row],[Safe IO Device]]))</f>
        <v/>
      </c>
      <c r="AO88" s="141"/>
      <c r="AR88" s="60" t="str">
        <f>IF(_IODev[[#This Row],[IO Device]]="","",COUNTIF('Standard IO'!$C$12:$EZ$49995,_IODev[[#This Row],[IO Device]]))</f>
        <v/>
      </c>
    </row>
    <row r="89" spans="1:44" x14ac:dyDescent="0.3">
      <c r="A89" s="90"/>
      <c r="C89" s="141"/>
      <c r="F89" s="60" t="str">
        <f>IF(_480CblLgth[[#This Row],[480 Cable Length]]="","",COUNTIF('480v Power'!$D$14:$EZ$50000,_480CblLgth[[#This Row],[480 Cable Length]]))</f>
        <v/>
      </c>
      <c r="G89" s="141"/>
      <c r="J89" s="60" t="str">
        <f>IF(_480Dev[[#This Row],[480 Device]]="","",COUNTIF('480v Power'!$D$14:$EZ$50000,_480Dev[[#This Row],[480 Device]]))</f>
        <v/>
      </c>
      <c r="K89" s="141"/>
      <c r="N89" s="60" t="str">
        <f>IF(_120CblLgth[[#This Row],[120 Cable Length]]="","",COUNTIF('120v Power'!$B$14:$EZ$50000,_120CblLgth[[#This Row],[120 Cable Length]]))</f>
        <v/>
      </c>
      <c r="O89" s="81"/>
      <c r="R89" s="60" t="str">
        <f>IF(_120Dev[[#This Row],[120 Device]]="","",COUNTIF('120v Power'!$B$14:$EZ$50000,_120Dev[[#This Row],[120 Device]]))</f>
        <v/>
      </c>
      <c r="S89" s="141"/>
      <c r="V89" s="60" t="str">
        <f>IF(_24CblLgth[[#This Row],[24 Cable Length]]="","",COUNTIF('24v Power'!$B$14:$EZ$50000,_24CblLgth[[#This Row],[24 Cable Length]]))</f>
        <v/>
      </c>
      <c r="W89" s="141"/>
      <c r="Z89" s="60" t="str">
        <f>IF(_24Dev[[#This Row],[24 Device]]="","",COUNTIF('24v Power'!$B$14:$EZ$50000,_24Dev[[#This Row],[24 Device]]))</f>
        <v/>
      </c>
      <c r="AA89" s="141"/>
      <c r="AB89" s="82" t="s">
        <v>555</v>
      </c>
      <c r="AC89" s="82">
        <v>19481</v>
      </c>
      <c r="AD89" s="60">
        <f>IF(_ENetCblLgth[[#This Row],[ENet Cable Length]]="","",COUNTIF(Ethernet!$C$14:$EZ$50000,_ENetCblLgth[[#This Row],[ENet Cable Length]]))</f>
        <v>0</v>
      </c>
      <c r="AE89" s="81"/>
      <c r="AF89" s="91"/>
      <c r="AG89" s="141"/>
      <c r="AJ8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89" s="141"/>
      <c r="AN89" s="60" t="str">
        <f>IF(_SafeIODev[[#This Row],[Safe IO Device]]="","",COUNTIF('Safety IO'!$C$12:$EZ$50000,_SafeIODev[[#This Row],[Safe IO Device]]))</f>
        <v/>
      </c>
      <c r="AO89" s="141"/>
      <c r="AR89" s="60" t="str">
        <f>IF(_IODev[[#This Row],[IO Device]]="","",COUNTIF('Standard IO'!$C$12:$EZ$49995,_IODev[[#This Row],[IO Device]]))</f>
        <v/>
      </c>
    </row>
    <row r="90" spans="1:44" x14ac:dyDescent="0.3">
      <c r="A90" s="90"/>
      <c r="C90" s="141"/>
      <c r="F90" s="60" t="str">
        <f>IF(_480CblLgth[[#This Row],[480 Cable Length]]="","",COUNTIF('480v Power'!$D$14:$EZ$50000,_480CblLgth[[#This Row],[480 Cable Length]]))</f>
        <v/>
      </c>
      <c r="G90" s="141"/>
      <c r="J90" s="60" t="str">
        <f>IF(_480Dev[[#This Row],[480 Device]]="","",COUNTIF('480v Power'!$D$14:$EZ$50000,_480Dev[[#This Row],[480 Device]]))</f>
        <v/>
      </c>
      <c r="K90" s="141"/>
      <c r="N90" s="60" t="str">
        <f>IF(_120CblLgth[[#This Row],[120 Cable Length]]="","",COUNTIF('120v Power'!$B$14:$EZ$50000,_120CblLgth[[#This Row],[120 Cable Length]]))</f>
        <v/>
      </c>
      <c r="O90" s="81"/>
      <c r="R90" s="60" t="str">
        <f>IF(_120Dev[[#This Row],[120 Device]]="","",COUNTIF('120v Power'!$B$14:$EZ$50000,_120Dev[[#This Row],[120 Device]]))</f>
        <v/>
      </c>
      <c r="S90" s="141"/>
      <c r="V90" s="60" t="str">
        <f>IF(_24CblLgth[[#This Row],[24 Cable Length]]="","",COUNTIF('24v Power'!$B$14:$EZ$50000,_24CblLgth[[#This Row],[24 Cable Length]]))</f>
        <v/>
      </c>
      <c r="W90" s="141"/>
      <c r="Z90" s="60" t="str">
        <f>IF(_24Dev[[#This Row],[24 Device]]="","",COUNTIF('24v Power'!$B$14:$EZ$50000,_24Dev[[#This Row],[24 Device]]))</f>
        <v/>
      </c>
      <c r="AA90" s="141"/>
      <c r="AB90" s="82" t="s">
        <v>556</v>
      </c>
      <c r="AC90" s="82">
        <v>19482</v>
      </c>
      <c r="AD90" s="60">
        <f>IF(_ENetCblLgth[[#This Row],[ENet Cable Length]]="","",COUNTIF(Ethernet!$C$14:$EZ$50000,_ENetCblLgth[[#This Row],[ENet Cable Length]]))</f>
        <v>0</v>
      </c>
      <c r="AE90" s="81"/>
      <c r="AF90" s="91"/>
      <c r="AG90" s="141"/>
      <c r="AJ9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0" s="141"/>
      <c r="AN90" s="60" t="str">
        <f>IF(_SafeIODev[[#This Row],[Safe IO Device]]="","",COUNTIF('Safety IO'!$C$12:$EZ$50000,_SafeIODev[[#This Row],[Safe IO Device]]))</f>
        <v/>
      </c>
      <c r="AO90" s="141"/>
      <c r="AR90" s="60" t="str">
        <f>IF(_IODev[[#This Row],[IO Device]]="","",COUNTIF('Standard IO'!$C$12:$EZ$49995,_IODev[[#This Row],[IO Device]]))</f>
        <v/>
      </c>
    </row>
    <row r="91" spans="1:44" x14ac:dyDescent="0.3">
      <c r="A91" s="90"/>
      <c r="C91" s="141"/>
      <c r="F91" s="60" t="str">
        <f>IF(_480CblLgth[[#This Row],[480 Cable Length]]="","",COUNTIF('480v Power'!$D$14:$EZ$50000,_480CblLgth[[#This Row],[480 Cable Length]]))</f>
        <v/>
      </c>
      <c r="G91" s="141"/>
      <c r="J91" s="60" t="str">
        <f>IF(_480Dev[[#This Row],[480 Device]]="","",COUNTIF('480v Power'!$D$14:$EZ$50000,_480Dev[[#This Row],[480 Device]]))</f>
        <v/>
      </c>
      <c r="K91" s="141"/>
      <c r="N91" s="60" t="str">
        <f>IF(_120CblLgth[[#This Row],[120 Cable Length]]="","",COUNTIF('120v Power'!$B$14:$EZ$50000,_120CblLgth[[#This Row],[120 Cable Length]]))</f>
        <v/>
      </c>
      <c r="O91" s="81"/>
      <c r="R91" s="60" t="str">
        <f>IF(_120Dev[[#This Row],[120 Device]]="","",COUNTIF('120v Power'!$B$14:$EZ$50000,_120Dev[[#This Row],[120 Device]]))</f>
        <v/>
      </c>
      <c r="S91" s="141"/>
      <c r="V91" s="60" t="str">
        <f>IF(_24CblLgth[[#This Row],[24 Cable Length]]="","",COUNTIF('24v Power'!$B$14:$EZ$50000,_24CblLgth[[#This Row],[24 Cable Length]]))</f>
        <v/>
      </c>
      <c r="W91" s="141"/>
      <c r="Z91" s="60" t="str">
        <f>IF(_24Dev[[#This Row],[24 Device]]="","",COUNTIF('24v Power'!$B$14:$EZ$50000,_24Dev[[#This Row],[24 Device]]))</f>
        <v/>
      </c>
      <c r="AA91" s="141"/>
      <c r="AB91" s="82" t="s">
        <v>557</v>
      </c>
      <c r="AC91" s="82">
        <v>19483</v>
      </c>
      <c r="AD91" s="60">
        <f>IF(_ENetCblLgth[[#This Row],[ENet Cable Length]]="","",COUNTIF(Ethernet!$C$14:$EZ$50000,_ENetCblLgth[[#This Row],[ENet Cable Length]]))</f>
        <v>0</v>
      </c>
      <c r="AE91" s="81"/>
      <c r="AF91" s="91"/>
      <c r="AG91" s="141"/>
      <c r="AJ9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1" s="141"/>
      <c r="AN91" s="60" t="str">
        <f>IF(_SafeIODev[[#This Row],[Safe IO Device]]="","",COUNTIF('Safety IO'!$C$12:$EZ$50000,_SafeIODev[[#This Row],[Safe IO Device]]))</f>
        <v/>
      </c>
      <c r="AO91" s="141"/>
      <c r="AR91" s="60" t="str">
        <f>IF(_IODev[[#This Row],[IO Device]]="","",COUNTIF('Standard IO'!$C$12:$EZ$49995,_IODev[[#This Row],[IO Device]]))</f>
        <v/>
      </c>
    </row>
    <row r="92" spans="1:44" x14ac:dyDescent="0.3">
      <c r="A92" s="90"/>
      <c r="C92" s="141"/>
      <c r="F92" s="60" t="str">
        <f>IF(_480CblLgth[[#This Row],[480 Cable Length]]="","",COUNTIF('480v Power'!$D$14:$EZ$50000,_480CblLgth[[#This Row],[480 Cable Length]]))</f>
        <v/>
      </c>
      <c r="G92" s="141"/>
      <c r="J92" s="60" t="str">
        <f>IF(_480Dev[[#This Row],[480 Device]]="","",COUNTIF('480v Power'!$D$14:$EZ$50000,_480Dev[[#This Row],[480 Device]]))</f>
        <v/>
      </c>
      <c r="K92" s="141"/>
      <c r="N92" s="60" t="str">
        <f>IF(_120CblLgth[[#This Row],[120 Cable Length]]="","",COUNTIF('120v Power'!$B$14:$EZ$50000,_120CblLgth[[#This Row],[120 Cable Length]]))</f>
        <v/>
      </c>
      <c r="O92" s="81"/>
      <c r="R92" s="60" t="str">
        <f>IF(_120Dev[[#This Row],[120 Device]]="","",COUNTIF('120v Power'!$B$14:$EZ$50000,_120Dev[[#This Row],[120 Device]]))</f>
        <v/>
      </c>
      <c r="S92" s="141"/>
      <c r="V92" s="60" t="str">
        <f>IF(_24CblLgth[[#This Row],[24 Cable Length]]="","",COUNTIF('24v Power'!$B$14:$EZ$50000,_24CblLgth[[#This Row],[24 Cable Length]]))</f>
        <v/>
      </c>
      <c r="W92" s="141"/>
      <c r="Z92" s="60" t="str">
        <f>IF(_24Dev[[#This Row],[24 Device]]="","",COUNTIF('24v Power'!$B$14:$EZ$50000,_24Dev[[#This Row],[24 Device]]))</f>
        <v/>
      </c>
      <c r="AA92" s="141"/>
      <c r="AB92" s="82" t="s">
        <v>558</v>
      </c>
      <c r="AC92" s="82">
        <v>19484</v>
      </c>
      <c r="AD92" s="60">
        <f>IF(_ENetCblLgth[[#This Row],[ENet Cable Length]]="","",COUNTIF(Ethernet!$C$14:$EZ$50000,_ENetCblLgth[[#This Row],[ENet Cable Length]]))</f>
        <v>0</v>
      </c>
      <c r="AE92" s="81"/>
      <c r="AF92" s="91"/>
      <c r="AG92" s="141"/>
      <c r="AJ92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2" s="141"/>
      <c r="AN92" s="60" t="str">
        <f>IF(_SafeIODev[[#This Row],[Safe IO Device]]="","",COUNTIF('Safety IO'!$C$12:$EZ$50000,_SafeIODev[[#This Row],[Safe IO Device]]))</f>
        <v/>
      </c>
      <c r="AO92" s="141"/>
      <c r="AR92" s="60" t="str">
        <f>IF(_IODev[[#This Row],[IO Device]]="","",COUNTIF('Standard IO'!$C$12:$EZ$49995,_IODev[[#This Row],[IO Device]]))</f>
        <v/>
      </c>
    </row>
    <row r="93" spans="1:44" x14ac:dyDescent="0.3">
      <c r="A93" s="90"/>
      <c r="C93" s="141"/>
      <c r="F93" s="60" t="str">
        <f>IF(_480CblLgth[[#This Row],[480 Cable Length]]="","",COUNTIF('480v Power'!$D$14:$EZ$50000,_480CblLgth[[#This Row],[480 Cable Length]]))</f>
        <v/>
      </c>
      <c r="G93" s="141"/>
      <c r="J93" s="60" t="str">
        <f>IF(_480Dev[[#This Row],[480 Device]]="","",COUNTIF('480v Power'!$D$14:$EZ$50000,_480Dev[[#This Row],[480 Device]]))</f>
        <v/>
      </c>
      <c r="K93" s="141"/>
      <c r="N93" s="60" t="str">
        <f>IF(_120CblLgth[[#This Row],[120 Cable Length]]="","",COUNTIF('120v Power'!$B$14:$EZ$50000,_120CblLgth[[#This Row],[120 Cable Length]]))</f>
        <v/>
      </c>
      <c r="O93" s="81"/>
      <c r="R93" s="60" t="str">
        <f>IF(_120Dev[[#This Row],[120 Device]]="","",COUNTIF('120v Power'!$B$14:$EZ$50000,_120Dev[[#This Row],[120 Device]]))</f>
        <v/>
      </c>
      <c r="S93" s="141"/>
      <c r="V93" s="60" t="str">
        <f>IF(_24CblLgth[[#This Row],[24 Cable Length]]="","",COUNTIF('24v Power'!$B$14:$EZ$50000,_24CblLgth[[#This Row],[24 Cable Length]]))</f>
        <v/>
      </c>
      <c r="W93" s="141"/>
      <c r="Z93" s="60" t="str">
        <f>IF(_24Dev[[#This Row],[24 Device]]="","",COUNTIF('24v Power'!$B$14:$EZ$50000,_24Dev[[#This Row],[24 Device]]))</f>
        <v/>
      </c>
      <c r="AA93" s="141"/>
      <c r="AB93" s="82" t="s">
        <v>559</v>
      </c>
      <c r="AC93" s="82">
        <v>19485</v>
      </c>
      <c r="AD93" s="60">
        <f>IF(_ENetCblLgth[[#This Row],[ENet Cable Length]]="","",COUNTIF(Ethernet!$C$14:$EZ$50000,_ENetCblLgth[[#This Row],[ENet Cable Length]]))</f>
        <v>0</v>
      </c>
      <c r="AE93" s="81"/>
      <c r="AF93" s="91"/>
      <c r="AG93" s="141"/>
      <c r="AJ93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3" s="141"/>
      <c r="AN93" s="60" t="str">
        <f>IF(_SafeIODev[[#This Row],[Safe IO Device]]="","",COUNTIF('Safety IO'!$C$12:$EZ$50000,_SafeIODev[[#This Row],[Safe IO Device]]))</f>
        <v/>
      </c>
      <c r="AO93" s="141"/>
      <c r="AR93" s="60" t="str">
        <f>IF(_IODev[[#This Row],[IO Device]]="","",COUNTIF('Standard IO'!$C$12:$EZ$49995,_IODev[[#This Row],[IO Device]]))</f>
        <v/>
      </c>
    </row>
    <row r="94" spans="1:44" x14ac:dyDescent="0.3">
      <c r="A94" s="90"/>
      <c r="C94" s="141"/>
      <c r="F94" s="60" t="str">
        <f>IF(_480CblLgth[[#This Row],[480 Cable Length]]="","",COUNTIF('480v Power'!$D$14:$EZ$50000,_480CblLgth[[#This Row],[480 Cable Length]]))</f>
        <v/>
      </c>
      <c r="G94" s="141"/>
      <c r="J94" s="60" t="str">
        <f>IF(_480Dev[[#This Row],[480 Device]]="","",COUNTIF('480v Power'!$D$14:$EZ$50000,_480Dev[[#This Row],[480 Device]]))</f>
        <v/>
      </c>
      <c r="K94" s="141"/>
      <c r="N94" s="60" t="str">
        <f>IF(_120CblLgth[[#This Row],[120 Cable Length]]="","",COUNTIF('120v Power'!$B$14:$EZ$50000,_120CblLgth[[#This Row],[120 Cable Length]]))</f>
        <v/>
      </c>
      <c r="O94" s="81"/>
      <c r="R94" s="60" t="str">
        <f>IF(_120Dev[[#This Row],[120 Device]]="","",COUNTIF('120v Power'!$B$14:$EZ$50000,_120Dev[[#This Row],[120 Device]]))</f>
        <v/>
      </c>
      <c r="S94" s="141"/>
      <c r="V94" s="60" t="str">
        <f>IF(_24CblLgth[[#This Row],[24 Cable Length]]="","",COUNTIF('24v Power'!$B$14:$EZ$50000,_24CblLgth[[#This Row],[24 Cable Length]]))</f>
        <v/>
      </c>
      <c r="W94" s="141"/>
      <c r="Z94" s="60" t="str">
        <f>IF(_24Dev[[#This Row],[24 Device]]="","",COUNTIF('24v Power'!$B$14:$EZ$50000,_24Dev[[#This Row],[24 Device]]))</f>
        <v/>
      </c>
      <c r="AA94" s="141"/>
      <c r="AB94" s="82" t="s">
        <v>560</v>
      </c>
      <c r="AC94" s="82">
        <v>19486</v>
      </c>
      <c r="AD94" s="60">
        <f>IF(_ENetCblLgth[[#This Row],[ENet Cable Length]]="","",COUNTIF(Ethernet!$C$14:$EZ$50000,_ENetCblLgth[[#This Row],[ENet Cable Length]]))</f>
        <v>0</v>
      </c>
      <c r="AE94" s="81"/>
      <c r="AF94" s="91"/>
      <c r="AG94" s="141"/>
      <c r="AJ94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4" s="141"/>
      <c r="AN94" s="60" t="str">
        <f>IF(_SafeIODev[[#This Row],[Safe IO Device]]="","",COUNTIF('Safety IO'!$C$12:$EZ$50000,_SafeIODev[[#This Row],[Safe IO Device]]))</f>
        <v/>
      </c>
      <c r="AO94" s="141"/>
      <c r="AR94" s="60" t="str">
        <f>IF(_IODev[[#This Row],[IO Device]]="","",COUNTIF('Standard IO'!$C$12:$EZ$49995,_IODev[[#This Row],[IO Device]]))</f>
        <v/>
      </c>
    </row>
    <row r="95" spans="1:44" x14ac:dyDescent="0.3">
      <c r="A95" s="90"/>
      <c r="C95" s="141"/>
      <c r="F95" s="60" t="str">
        <f>IF(_480CblLgth[[#This Row],[480 Cable Length]]="","",COUNTIF('480v Power'!$D$14:$EZ$50000,_480CblLgth[[#This Row],[480 Cable Length]]))</f>
        <v/>
      </c>
      <c r="G95" s="141"/>
      <c r="J95" s="60" t="str">
        <f>IF(_480Dev[[#This Row],[480 Device]]="","",COUNTIF('480v Power'!$D$14:$EZ$50000,_480Dev[[#This Row],[480 Device]]))</f>
        <v/>
      </c>
      <c r="K95" s="141"/>
      <c r="N95" s="60" t="str">
        <f>IF(_120CblLgth[[#This Row],[120 Cable Length]]="","",COUNTIF('120v Power'!$B$14:$EZ$50000,_120CblLgth[[#This Row],[120 Cable Length]]))</f>
        <v/>
      </c>
      <c r="O95" s="81"/>
      <c r="R95" s="60" t="str">
        <f>IF(_120Dev[[#This Row],[120 Device]]="","",COUNTIF('120v Power'!$B$14:$EZ$50000,_120Dev[[#This Row],[120 Device]]))</f>
        <v/>
      </c>
      <c r="S95" s="141"/>
      <c r="V95" s="60" t="str">
        <f>IF(_24CblLgth[[#This Row],[24 Cable Length]]="","",COUNTIF('24v Power'!$B$14:$EZ$50000,_24CblLgth[[#This Row],[24 Cable Length]]))</f>
        <v/>
      </c>
      <c r="W95" s="141"/>
      <c r="Z95" s="60" t="str">
        <f>IF(_24Dev[[#This Row],[24 Device]]="","",COUNTIF('24v Power'!$B$14:$EZ$50000,_24Dev[[#This Row],[24 Device]]))</f>
        <v/>
      </c>
      <c r="AA95" s="141"/>
      <c r="AB95" s="82" t="s">
        <v>561</v>
      </c>
      <c r="AC95" s="82">
        <v>19487</v>
      </c>
      <c r="AD95" s="60">
        <f>IF(_ENetCblLgth[[#This Row],[ENet Cable Length]]="","",COUNTIF(Ethernet!$C$14:$EZ$50000,_ENetCblLgth[[#This Row],[ENet Cable Length]]))</f>
        <v>0</v>
      </c>
      <c r="AE95" s="81"/>
      <c r="AF95" s="91"/>
      <c r="AG95" s="141"/>
      <c r="AJ95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5" s="141"/>
      <c r="AN95" s="60" t="str">
        <f>IF(_SafeIODev[[#This Row],[Safe IO Device]]="","",COUNTIF('Safety IO'!$C$12:$EZ$50000,_SafeIODev[[#This Row],[Safe IO Device]]))</f>
        <v/>
      </c>
      <c r="AO95" s="141"/>
      <c r="AR95" s="60" t="str">
        <f>IF(_IODev[[#This Row],[IO Device]]="","",COUNTIF('Standard IO'!$C$12:$EZ$49995,_IODev[[#This Row],[IO Device]]))</f>
        <v/>
      </c>
    </row>
    <row r="96" spans="1:44" x14ac:dyDescent="0.3">
      <c r="A96" s="90"/>
      <c r="C96" s="141"/>
      <c r="F96" s="60" t="str">
        <f>IF(_480CblLgth[[#This Row],[480 Cable Length]]="","",COUNTIF('480v Power'!$D$14:$EZ$50000,_480CblLgth[[#This Row],[480 Cable Length]]))</f>
        <v/>
      </c>
      <c r="G96" s="141"/>
      <c r="J96" s="60" t="str">
        <f>IF(_480Dev[[#This Row],[480 Device]]="","",COUNTIF('480v Power'!$D$14:$EZ$50000,_480Dev[[#This Row],[480 Device]]))</f>
        <v/>
      </c>
      <c r="K96" s="141"/>
      <c r="N96" s="60" t="str">
        <f>IF(_120CblLgth[[#This Row],[120 Cable Length]]="","",COUNTIF('120v Power'!$B$14:$EZ$50000,_120CblLgth[[#This Row],[120 Cable Length]]))</f>
        <v/>
      </c>
      <c r="O96" s="81"/>
      <c r="R96" s="60" t="str">
        <f>IF(_120Dev[[#This Row],[120 Device]]="","",COUNTIF('120v Power'!$B$14:$EZ$50000,_120Dev[[#This Row],[120 Device]]))</f>
        <v/>
      </c>
      <c r="S96" s="141"/>
      <c r="V96" s="60" t="str">
        <f>IF(_24CblLgth[[#This Row],[24 Cable Length]]="","",COUNTIF('24v Power'!$B$14:$EZ$50000,_24CblLgth[[#This Row],[24 Cable Length]]))</f>
        <v/>
      </c>
      <c r="W96" s="141"/>
      <c r="Z96" s="60" t="str">
        <f>IF(_24Dev[[#This Row],[24 Device]]="","",COUNTIF('24v Power'!$B$14:$EZ$50000,_24Dev[[#This Row],[24 Device]]))</f>
        <v/>
      </c>
      <c r="AA96" s="141"/>
      <c r="AB96" s="82" t="s">
        <v>562</v>
      </c>
      <c r="AC96" s="82">
        <v>19488</v>
      </c>
      <c r="AD96" s="60">
        <f>IF(_ENetCblLgth[[#This Row],[ENet Cable Length]]="","",COUNTIF(Ethernet!$C$14:$EZ$50000,_ENetCblLgth[[#This Row],[ENet Cable Length]]))</f>
        <v>0</v>
      </c>
      <c r="AE96" s="81"/>
      <c r="AF96" s="91"/>
      <c r="AG96" s="141"/>
      <c r="AJ96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6" s="141"/>
      <c r="AN96" s="60" t="str">
        <f>IF(_SafeIODev[[#This Row],[Safe IO Device]]="","",COUNTIF('Safety IO'!$C$12:$EZ$50000,_SafeIODev[[#This Row],[Safe IO Device]]))</f>
        <v/>
      </c>
      <c r="AO96" s="141"/>
      <c r="AR96" s="60" t="str">
        <f>IF(_IODev[[#This Row],[IO Device]]="","",COUNTIF('Standard IO'!$C$12:$EZ$49995,_IODev[[#This Row],[IO Device]]))</f>
        <v/>
      </c>
    </row>
    <row r="97" spans="1:44" x14ac:dyDescent="0.3">
      <c r="A97" s="90"/>
      <c r="C97" s="141"/>
      <c r="F97" s="60" t="str">
        <f>IF(_480CblLgth[[#This Row],[480 Cable Length]]="","",COUNTIF('480v Power'!$D$14:$EZ$50000,_480CblLgth[[#This Row],[480 Cable Length]]))</f>
        <v/>
      </c>
      <c r="G97" s="141"/>
      <c r="J97" s="60" t="str">
        <f>IF(_480Dev[[#This Row],[480 Device]]="","",COUNTIF('480v Power'!$D$14:$EZ$50000,_480Dev[[#This Row],[480 Device]]))</f>
        <v/>
      </c>
      <c r="K97" s="141"/>
      <c r="N97" s="60" t="str">
        <f>IF(_120CblLgth[[#This Row],[120 Cable Length]]="","",COUNTIF('120v Power'!$B$14:$EZ$50000,_120CblLgth[[#This Row],[120 Cable Length]]))</f>
        <v/>
      </c>
      <c r="O97" s="81"/>
      <c r="R97" s="60" t="str">
        <f>IF(_120Dev[[#This Row],[120 Device]]="","",COUNTIF('120v Power'!$B$14:$EZ$50000,_120Dev[[#This Row],[120 Device]]))</f>
        <v/>
      </c>
      <c r="S97" s="141"/>
      <c r="V97" s="60" t="str">
        <f>IF(_24CblLgth[[#This Row],[24 Cable Length]]="","",COUNTIF('24v Power'!$B$14:$EZ$50000,_24CblLgth[[#This Row],[24 Cable Length]]))</f>
        <v/>
      </c>
      <c r="W97" s="141"/>
      <c r="Z97" s="60" t="str">
        <f>IF(_24Dev[[#This Row],[24 Device]]="","",COUNTIF('24v Power'!$B$14:$EZ$50000,_24Dev[[#This Row],[24 Device]]))</f>
        <v/>
      </c>
      <c r="AA97" s="141"/>
      <c r="AB97" s="82" t="s">
        <v>563</v>
      </c>
      <c r="AC97" s="82">
        <v>19489</v>
      </c>
      <c r="AD97" s="60">
        <f>IF(_ENetCblLgth[[#This Row],[ENet Cable Length]]="","",COUNTIF(Ethernet!$C$14:$EZ$50000,_ENetCblLgth[[#This Row],[ENet Cable Length]]))</f>
        <v>0</v>
      </c>
      <c r="AE97" s="81"/>
      <c r="AF97" s="91"/>
      <c r="AG97" s="141"/>
      <c r="AJ97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7" s="141"/>
      <c r="AN97" s="60" t="str">
        <f>IF(_SafeIODev[[#This Row],[Safe IO Device]]="","",COUNTIF('Safety IO'!$C$12:$EZ$50000,_SafeIODev[[#This Row],[Safe IO Device]]))</f>
        <v/>
      </c>
      <c r="AO97" s="141"/>
      <c r="AR97" s="60" t="str">
        <f>IF(_IODev[[#This Row],[IO Device]]="","",COUNTIF('Standard IO'!$C$12:$EZ$49995,_IODev[[#This Row],[IO Device]]))</f>
        <v/>
      </c>
    </row>
    <row r="98" spans="1:44" x14ac:dyDescent="0.3">
      <c r="A98" s="90"/>
      <c r="C98" s="141"/>
      <c r="F98" s="60" t="str">
        <f>IF(_480CblLgth[[#This Row],[480 Cable Length]]="","",COUNTIF('480v Power'!$D$14:$EZ$50000,_480CblLgth[[#This Row],[480 Cable Length]]))</f>
        <v/>
      </c>
      <c r="G98" s="141"/>
      <c r="J98" s="60" t="str">
        <f>IF(_480Dev[[#This Row],[480 Device]]="","",COUNTIF('480v Power'!$D$14:$EZ$50000,_480Dev[[#This Row],[480 Device]]))</f>
        <v/>
      </c>
      <c r="K98" s="141"/>
      <c r="N98" s="60" t="str">
        <f>IF(_120CblLgth[[#This Row],[120 Cable Length]]="","",COUNTIF('120v Power'!$B$14:$EZ$50000,_120CblLgth[[#This Row],[120 Cable Length]]))</f>
        <v/>
      </c>
      <c r="O98" s="81"/>
      <c r="R98" s="60" t="str">
        <f>IF(_120Dev[[#This Row],[120 Device]]="","",COUNTIF('120v Power'!$B$14:$EZ$50000,_120Dev[[#This Row],[120 Device]]))</f>
        <v/>
      </c>
      <c r="S98" s="141"/>
      <c r="V98" s="60" t="str">
        <f>IF(_24CblLgth[[#This Row],[24 Cable Length]]="","",COUNTIF('24v Power'!$B$14:$EZ$50000,_24CblLgth[[#This Row],[24 Cable Length]]))</f>
        <v/>
      </c>
      <c r="W98" s="141"/>
      <c r="Z98" s="60" t="str">
        <f>IF(_24Dev[[#This Row],[24 Device]]="","",COUNTIF('24v Power'!$B$14:$EZ$50000,_24Dev[[#This Row],[24 Device]]))</f>
        <v/>
      </c>
      <c r="AA98" s="141"/>
      <c r="AD98" s="60" t="str">
        <f>IF(_ENetCblLgth[[#This Row],[ENet Cable Length]]="","",COUNTIF(Ethernet!$C$14:$EZ$50000,_ENetCblLgth[[#This Row],[ENet Cable Length]]))</f>
        <v/>
      </c>
      <c r="AE98" s="81"/>
      <c r="AF98" s="91"/>
      <c r="AG98" s="141"/>
      <c r="AJ98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8" s="141"/>
      <c r="AN98" s="60" t="str">
        <f>IF(_SafeIODev[[#This Row],[Safe IO Device]]="","",COUNTIF('Safety IO'!$C$12:$EZ$50000,_SafeIODev[[#This Row],[Safe IO Device]]))</f>
        <v/>
      </c>
      <c r="AO98" s="141"/>
      <c r="AR98" s="60" t="str">
        <f>IF(_IODev[[#This Row],[IO Device]]="","",COUNTIF('Standard IO'!$C$12:$EZ$49995,_IODev[[#This Row],[IO Device]]))</f>
        <v/>
      </c>
    </row>
    <row r="99" spans="1:44" x14ac:dyDescent="0.3">
      <c r="A99" s="90"/>
      <c r="C99" s="141"/>
      <c r="F99" s="60" t="str">
        <f>IF(_480CblLgth[[#This Row],[480 Cable Length]]="","",COUNTIF('480v Power'!$D$14:$EZ$50000,_480CblLgth[[#This Row],[480 Cable Length]]))</f>
        <v/>
      </c>
      <c r="G99" s="141"/>
      <c r="J99" s="60" t="str">
        <f>IF(_480Dev[[#This Row],[480 Device]]="","",COUNTIF('480v Power'!$D$14:$EZ$50000,_480Dev[[#This Row],[480 Device]]))</f>
        <v/>
      </c>
      <c r="K99" s="141"/>
      <c r="N99" s="60" t="str">
        <f>IF(_120CblLgth[[#This Row],[120 Cable Length]]="","",COUNTIF('120v Power'!$B$14:$EZ$50000,_120CblLgth[[#This Row],[120 Cable Length]]))</f>
        <v/>
      </c>
      <c r="O99" s="81"/>
      <c r="R99" s="60" t="str">
        <f>IF(_120Dev[[#This Row],[120 Device]]="","",COUNTIF('120v Power'!$B$14:$EZ$50000,_120Dev[[#This Row],[120 Device]]))</f>
        <v/>
      </c>
      <c r="S99" s="141"/>
      <c r="V99" s="60" t="str">
        <f>IF(_24CblLgth[[#This Row],[24 Cable Length]]="","",COUNTIF('24v Power'!$B$14:$EZ$50000,_24CblLgth[[#This Row],[24 Cable Length]]))</f>
        <v/>
      </c>
      <c r="W99" s="141"/>
      <c r="Z99" s="60" t="str">
        <f>IF(_24Dev[[#This Row],[24 Device]]="","",COUNTIF('24v Power'!$B$14:$EZ$50000,_24Dev[[#This Row],[24 Device]]))</f>
        <v/>
      </c>
      <c r="AA99" s="141"/>
      <c r="AD99" s="60" t="str">
        <f>IF(_ENetCblLgth[[#This Row],[ENet Cable Length]]="","",COUNTIF(Ethernet!$C$14:$EZ$50000,_ENetCblLgth[[#This Row],[ENet Cable Length]]))</f>
        <v/>
      </c>
      <c r="AE99" s="81"/>
      <c r="AF99" s="91"/>
      <c r="AG99" s="141"/>
      <c r="AJ99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99" s="141"/>
      <c r="AN99" s="60" t="str">
        <f>IF(_SafeIODev[[#This Row],[Safe IO Device]]="","",COUNTIF('Safety IO'!$C$12:$EZ$50000,_SafeIODev[[#This Row],[Safe IO Device]]))</f>
        <v/>
      </c>
      <c r="AO99" s="141"/>
      <c r="AR99" s="60" t="str">
        <f>IF(_IODev[[#This Row],[IO Device]]="","",COUNTIF('Standard IO'!$C$12:$EZ$49995,_IODev[[#This Row],[IO Device]]))</f>
        <v/>
      </c>
    </row>
    <row r="100" spans="1:44" x14ac:dyDescent="0.3">
      <c r="A100" s="90"/>
      <c r="C100" s="141"/>
      <c r="F100" s="60" t="str">
        <f>IF(_480CblLgth[[#This Row],[480 Cable Length]]="","",COUNTIF('480v Power'!$D$14:$EZ$50000,_480CblLgth[[#This Row],[480 Cable Length]]))</f>
        <v/>
      </c>
      <c r="G100" s="141"/>
      <c r="J100" s="60" t="str">
        <f>IF(_480Dev[[#This Row],[480 Device]]="","",COUNTIF('480v Power'!$D$14:$EZ$50000,_480Dev[[#This Row],[480 Device]]))</f>
        <v/>
      </c>
      <c r="K100" s="141"/>
      <c r="N100" s="60" t="str">
        <f>IF(_120CblLgth[[#This Row],[120 Cable Length]]="","",COUNTIF('120v Power'!$B$14:$EZ$50000,_120CblLgth[[#This Row],[120 Cable Length]]))</f>
        <v/>
      </c>
      <c r="O100" s="81"/>
      <c r="R100" s="60" t="str">
        <f>IF(_120Dev[[#This Row],[120 Device]]="","",COUNTIF('120v Power'!$B$14:$EZ$50000,_120Dev[[#This Row],[120 Device]]))</f>
        <v/>
      </c>
      <c r="S100" s="141"/>
      <c r="V100" s="60" t="str">
        <f>IF(_24CblLgth[[#This Row],[24 Cable Length]]="","",COUNTIF('24v Power'!$B$14:$EZ$50000,_24CblLgth[[#This Row],[24 Cable Length]]))</f>
        <v/>
      </c>
      <c r="W100" s="141"/>
      <c r="Z100" s="60" t="str">
        <f>IF(_24Dev[[#This Row],[24 Device]]="","",COUNTIF('24v Power'!$B$14:$EZ$50000,_24Dev[[#This Row],[24 Device]]))</f>
        <v/>
      </c>
      <c r="AA100" s="141"/>
      <c r="AD100" s="60" t="str">
        <f>IF(_ENetCblLgth[[#This Row],[ENet Cable Length]]="","",COUNTIF(Ethernet!$C$14:$EZ$50000,_ENetCblLgth[[#This Row],[ENet Cable Length]]))</f>
        <v/>
      </c>
      <c r="AE100" s="81"/>
      <c r="AF100" s="91"/>
      <c r="AG100" s="141"/>
      <c r="AJ100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100" s="141"/>
      <c r="AN100" s="60" t="str">
        <f>IF(_SafeIODev[[#This Row],[Safe IO Device]]="","",COUNTIF('Safety IO'!$C$12:$EZ$50000,_SafeIODev[[#This Row],[Safe IO Device]]))</f>
        <v/>
      </c>
      <c r="AO100" s="141"/>
      <c r="AR100" s="60" t="str">
        <f>IF(_IODev[[#This Row],[IO Device]]="","",COUNTIF('Standard IO'!$C$12:$EZ$49995,_IODev[[#This Row],[IO Device]]))</f>
        <v/>
      </c>
    </row>
    <row r="101" spans="1:44" x14ac:dyDescent="0.3">
      <c r="A101" s="90"/>
      <c r="C101" s="141"/>
      <c r="F101" s="60" t="str">
        <f>IF(_480CblLgth[[#This Row],[480 Cable Length]]="","",COUNTIF('480v Power'!$D$14:$EZ$50000,_480CblLgth[[#This Row],[480 Cable Length]]))</f>
        <v/>
      </c>
      <c r="G101" s="141"/>
      <c r="J101" s="60" t="str">
        <f>IF(_480Dev[[#This Row],[480 Device]]="","",COUNTIF('480v Power'!$D$14:$EZ$50000,_480Dev[[#This Row],[480 Device]]))</f>
        <v/>
      </c>
      <c r="K101" s="141"/>
      <c r="N101" s="60" t="str">
        <f>IF(_120CblLgth[[#This Row],[120 Cable Length]]="","",COUNTIF('120v Power'!$B$14:$EZ$50000,_120CblLgth[[#This Row],[120 Cable Length]]))</f>
        <v/>
      </c>
      <c r="O101" s="81"/>
      <c r="R101" s="60" t="str">
        <f>IF(_120Dev[[#This Row],[120 Device]]="","",COUNTIF('120v Power'!$B$14:$EZ$50000,_120Dev[[#This Row],[120 Device]]))</f>
        <v/>
      </c>
      <c r="S101" s="141"/>
      <c r="V101" s="60" t="str">
        <f>IF(_24CblLgth[[#This Row],[24 Cable Length]]="","",COUNTIF('24v Power'!$B$14:$EZ$50000,_24CblLgth[[#This Row],[24 Cable Length]]))</f>
        <v/>
      </c>
      <c r="W101" s="141"/>
      <c r="Z101" s="60" t="str">
        <f>IF(_24Dev[[#This Row],[24 Device]]="","",COUNTIF('24v Power'!$B$14:$EZ$50000,_24Dev[[#This Row],[24 Device]]))</f>
        <v/>
      </c>
      <c r="AA101" s="141"/>
      <c r="AD101" s="60" t="str">
        <f>IF(_ENetCblLgth[[#This Row],[ENet Cable Length]]="","",COUNTIF(Ethernet!$C$14:$EZ$50000,_ENetCblLgth[[#This Row],[ENet Cable Length]]))</f>
        <v/>
      </c>
      <c r="AE101" s="81"/>
      <c r="AF101" s="91"/>
      <c r="AG101" s="141"/>
      <c r="AJ101" s="60" t="str">
        <f>IF(_IOCblLgth[[#This Row],[IO Cable Length]]="","",COUNTIF(('Safety IO'!$C$12:$EZ$50000),_IOCblLgth[[#This Row],[IO Cable Length]])+COUNTIF(('Standard IO'!$C$12:$EZ$49995),_IOCblLgth[[#This Row],[IO Cable Length]]))</f>
        <v/>
      </c>
      <c r="AK101" s="141"/>
      <c r="AN101" s="60" t="str">
        <f>IF(_SafeIODev[[#This Row],[Safe IO Device]]="","",COUNTIF('Safety IO'!$C$12:$EZ$50000,_SafeIODev[[#This Row],[Safe IO Device]]))</f>
        <v/>
      </c>
      <c r="AO101" s="141"/>
      <c r="AR101" s="60" t="str">
        <f>IF(_IODev[[#This Row],[IO Device]]="","",COUNTIF('Standard IO'!$C$12:$EZ$49995,_IODev[[#This Row],[IO Device]]))</f>
        <v/>
      </c>
    </row>
    <row r="102" spans="1:44" s="84" customFormat="1" ht="15" thickBot="1" x14ac:dyDescent="0.35">
      <c r="A102" s="83"/>
      <c r="C102" s="142"/>
      <c r="F102" s="61" t="str">
        <f>IF(_480CblLgth[[#This Row],[480 Cable Length]]="","",COUNTIF('480v Power'!$D$14:$EZ$50000,_480CblLgth[[#This Row],[480 Cable Length]]))</f>
        <v/>
      </c>
      <c r="G102" s="142"/>
      <c r="J102" s="61" t="str">
        <f>IF(_480Dev[[#This Row],[480 Device]]="","",COUNTIF('480v Power'!$D$14:$EZ$50000,_480Dev[[#This Row],[480 Device]]))</f>
        <v/>
      </c>
      <c r="K102" s="142"/>
      <c r="N102" s="61" t="str">
        <f>IF(_120CblLgth[[#This Row],[120 Cable Length]]="","",COUNTIF('120v Power'!$B$14:$EZ$50000,_120CblLgth[[#This Row],[120 Cable Length]]))</f>
        <v/>
      </c>
      <c r="O102" s="92"/>
      <c r="R102" s="61" t="str">
        <f>IF(_120Dev[[#This Row],[120 Device]]="","",COUNTIF('120v Power'!$B$14:$EZ$50000,_120Dev[[#This Row],[120 Device]]))</f>
        <v/>
      </c>
      <c r="S102" s="142"/>
      <c r="V102" s="61" t="str">
        <f>IF(_24CblLgth[[#This Row],[24 Cable Length]]="","",COUNTIF('24v Power'!$B$14:$EZ$50000,_24CblLgth[[#This Row],[24 Cable Length]]))</f>
        <v/>
      </c>
      <c r="W102" s="142"/>
      <c r="Z102" s="61" t="str">
        <f>IF(_24Dev[[#This Row],[24 Device]]="","",COUNTIF('24v Power'!$B$14:$EZ$50000,_24Dev[[#This Row],[24 Device]]))</f>
        <v/>
      </c>
      <c r="AA102" s="142"/>
      <c r="AD102" s="61" t="str">
        <f>IF(_ENetCblLgth[[#This Row],[ENet Cable Length]]="","",COUNTIF(Ethernet!$C$14:$EZ$50000,_ENetCblLgth[[#This Row],[ENet Cable Length]]))</f>
        <v/>
      </c>
      <c r="AE102" s="92"/>
      <c r="AF102" s="86"/>
      <c r="AG102" s="145"/>
      <c r="AH102" s="84" t="s">
        <v>269</v>
      </c>
      <c r="AI102" s="84" t="s">
        <v>291</v>
      </c>
      <c r="AJ102" s="61">
        <f>IF(_IOCblLgth[[#This Row],[IO Cable Length]]="","",COUNTIF(('Safety IO'!$C$12:$EZ$50000),_IOCblLgth[[#This Row],[IO Cable Length]])+COUNTIF(('Standard IO'!$C$12:$EZ$49995),_IOCblLgth[[#This Row],[IO Cable Length]]))</f>
        <v>0</v>
      </c>
      <c r="AK102" s="142"/>
      <c r="AN102" s="61" t="str">
        <f>IF(_SafeIODev[[#This Row],[Safe IO Device]]="","",COUNTIF('Safety IO'!$C$12:$EZ$50000,_SafeIODev[[#This Row],[Safe IO Device]]))</f>
        <v/>
      </c>
      <c r="AO102" s="142"/>
      <c r="AR102" s="61" t="str">
        <f>IF(_IODev[[#This Row],[IO Device]]="","",COUNTIF('Standard IO'!$C$12:$EZ$49995,_IODev[[#This Row],[IO Device]]))</f>
        <v/>
      </c>
    </row>
  </sheetData>
  <sheetProtection algorithmName="SHA-512" hashValue="BY+EPMm6rMkZHt8qa4y0wpPxMqo7+BnQjDlTKnUsSImxD7hiRHXFELvZnc29TInmVR5ZPG4wC+DP3x3FwTgbHQ==" saltValue="RUtjwyE3L7glW0fdRYaHkw==" spinCount="100000" sheet="1" objects="1" scenarios="1" formatCells="0" formatColumns="0" formatRows="0" selectLockedCells="1"/>
  <pageMargins left="0.7" right="0.7" top="0.75" bottom="0.75" header="0.3" footer="0.3"/>
  <pageSetup orientation="portrait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BE961CFEFC248A114753AE045FE41" ma:contentTypeVersion="10" ma:contentTypeDescription="Create a new document." ma:contentTypeScope="" ma:versionID="0baeda0356a8b8c799720b61096a4490">
  <xsd:schema xmlns:xsd="http://www.w3.org/2001/XMLSchema" xmlns:xs="http://www.w3.org/2001/XMLSchema" xmlns:p="http://schemas.microsoft.com/office/2006/metadata/properties" xmlns:ns2="27b2c78f-1e8d-486b-9b74-924e8c24785a" xmlns:ns3="9ea92385-ee64-4143-b5a2-2e7b75a005ae" targetNamespace="http://schemas.microsoft.com/office/2006/metadata/properties" ma:root="true" ma:fieldsID="6ee07c12127ac6b2dd8e4444d96fdc55" ns2:_="" ns3:_="">
    <xsd:import namespace="27b2c78f-1e8d-486b-9b74-924e8c24785a"/>
    <xsd:import namespace="9ea92385-ee64-4143-b5a2-2e7b75a005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b2c78f-1e8d-486b-9b74-924e8c24785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0d2916ef-12c0-4ddb-a0c5-ff2c8064a7a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a92385-ee64-4143-b5a2-2e7b75a005ae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25749cda-37e5-461c-afdf-8fcee4e37817}" ma:internalName="TaxCatchAll" ma:showField="CatchAllData" ma:web="9ea92385-ee64-4143-b5a2-2e7b75a005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7b2c78f-1e8d-486b-9b74-924e8c24785a">
      <Terms xmlns="http://schemas.microsoft.com/office/infopath/2007/PartnerControls"/>
    </lcf76f155ced4ddcb4097134ff3c332f>
    <TaxCatchAll xmlns="9ea92385-ee64-4143-b5a2-2e7b75a005ae" xsi:nil="true"/>
  </documentManagement>
</p:properties>
</file>

<file path=customXml/itemProps1.xml><?xml version="1.0" encoding="utf-8"?>
<ds:datastoreItem xmlns:ds="http://schemas.openxmlformats.org/officeDocument/2006/customXml" ds:itemID="{DB00F633-81FB-4994-A79B-044ACF987E04}"/>
</file>

<file path=customXml/itemProps2.xml><?xml version="1.0" encoding="utf-8"?>
<ds:datastoreItem xmlns:ds="http://schemas.openxmlformats.org/officeDocument/2006/customXml" ds:itemID="{533CB514-9A7B-4A63-B802-85395AAC59EF}"/>
</file>

<file path=customXml/itemProps3.xml><?xml version="1.0" encoding="utf-8"?>
<ds:datastoreItem xmlns:ds="http://schemas.openxmlformats.org/officeDocument/2006/customXml" ds:itemID="{E1634C27-60F3-4E21-A069-86B16F45FE8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Structure_Data</vt:lpstr>
      <vt:lpstr>CoverSheet</vt:lpstr>
      <vt:lpstr>480v Power</vt:lpstr>
      <vt:lpstr>120v Power</vt:lpstr>
      <vt:lpstr>24v Power</vt:lpstr>
      <vt:lpstr>Ethernet</vt:lpstr>
      <vt:lpstr>Safety IO</vt:lpstr>
      <vt:lpstr>Standard IO</vt:lpstr>
      <vt:lpstr>Parts_Data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bciolan@indicon.com</dc:creator>
  <cp:lastModifiedBy>Gerrard, Robert</cp:lastModifiedBy>
  <cp:lastPrinted>2022-12-21T14:24:57Z</cp:lastPrinted>
  <dcterms:created xsi:type="dcterms:W3CDTF">2022-11-07T17:29:12Z</dcterms:created>
  <dcterms:modified xsi:type="dcterms:W3CDTF">2023-02-22T16:27:56Z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a238cc-6af3-4341-9d32-201b7e04331f_Enabled">
    <vt:lpwstr>true</vt:lpwstr>
  </property>
  <property fmtid="{D5CDD505-2E9C-101B-9397-08002B2CF9AE}" pid="3" name="MSIP_Label_64a238cc-6af3-4341-9d32-201b7e04331f_SetDate">
    <vt:lpwstr>2022-11-07T19:24:56Z</vt:lpwstr>
  </property>
  <property fmtid="{D5CDD505-2E9C-101B-9397-08002B2CF9AE}" pid="4" name="MSIP_Label_64a238cc-6af3-4341-9d32-201b7e04331f_Method">
    <vt:lpwstr>Standard</vt:lpwstr>
  </property>
  <property fmtid="{D5CDD505-2E9C-101B-9397-08002B2CF9AE}" pid="5" name="MSIP_Label_64a238cc-6af3-4341-9d32-201b7e04331f_Name">
    <vt:lpwstr>Internal</vt:lpwstr>
  </property>
  <property fmtid="{D5CDD505-2E9C-101B-9397-08002B2CF9AE}" pid="6" name="MSIP_Label_64a238cc-6af3-4341-9d32-201b7e04331f_SiteId">
    <vt:lpwstr>09ebfde1-6505-4c31-942f-18875ff0189d</vt:lpwstr>
  </property>
  <property fmtid="{D5CDD505-2E9C-101B-9397-08002B2CF9AE}" pid="7" name="MSIP_Label_64a238cc-6af3-4341-9d32-201b7e04331f_ActionId">
    <vt:lpwstr>6e92388a-4bd5-4bbb-8e23-6db493e23a6e</vt:lpwstr>
  </property>
  <property fmtid="{D5CDD505-2E9C-101B-9397-08002B2CF9AE}" pid="8" name="MSIP_Label_64a238cc-6af3-4341-9d32-201b7e04331f_ContentBits">
    <vt:lpwstr>0</vt:lpwstr>
  </property>
  <property fmtid="{D5CDD505-2E9C-101B-9397-08002B2CF9AE}" pid="9" name="ContentTypeId">
    <vt:lpwstr>0x010100740BE961CFEFC248A114753AE045FE41</vt:lpwstr>
  </property>
</Properties>
</file>